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Notes" sheetId="2" state="visible" r:id="rId4"/>
    <sheet name="Inputs" sheetId="3" state="visible" r:id="rId5"/>
    <sheet name="Job Costing" sheetId="4" state="visible" r:id="rId6"/>
    <sheet name="Proposed Std" sheetId="5" state="visible" r:id="rId7"/>
    <sheet name="Size Model" sheetId="6" state="visible" r:id="rId8"/>
    <sheet name="Outsourcing" sheetId="7" state="visible" r:id="rId9"/>
    <sheet name="Data - SAP Issues" sheetId="8" state="visible" r:id="rId10"/>
    <sheet name="Data - Labour" sheetId="9" state="visible" r:id="rId11"/>
    <sheet name="Data - Rates" sheetId="10" state="visible" r:id="rId12"/>
    <sheet name="Data - Items" sheetId="11" state="visible" r:id="rId13"/>
    <sheet name="Data - 2.0m BOM" sheetId="12" state="visible" r:id="rId14"/>
  </sheets>
  <definedNames>
    <definedName function="false" hidden="false" localSheetId="0" name="_xlnm.Print_Area" vbProcedure="false">Dashboard!$A$1:$R$51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4" authorId="0">
      <text>
        <r>
          <rPr>
            <sz val="10"/>
            <rFont val="Arial"/>
            <family val="2"/>
          </rPr>
          <t xml:space="preserve">SAP goods receipt 5415 - stretch film 50 micron returned</t>
        </r>
      </text>
    </comment>
    <comment ref="H16" authorId="0">
      <text>
        <r>
          <rPr>
            <sz val="10"/>
            <rFont val="Arial"/>
            <family val="2"/>
          </rPr>
          <t xml:space="preserve">SAP goods receipt 5420 - air bubble wrap returned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43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44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45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46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47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48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49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50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51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52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153" authorId="0">
      <text>
        <r>
          <rPr>
            <sz val="10"/>
            <rFont val="Arial"/>
            <family val="2"/>
          </rPr>
          <t xml:space="preserve">Ref2 blank in SAP - job taken from Comments</t>
        </r>
      </text>
    </comment>
    <comment ref="K225" authorId="0">
      <text>
        <r>
          <rPr>
            <sz val="10"/>
            <rFont val="Arial"/>
            <family val="2"/>
          </rPr>
          <t xml:space="preserve">posted to wrong job in SAP - corrected from stores slip</t>
        </r>
      </text>
    </comment>
    <comment ref="K228" authorId="0">
      <text>
        <r>
          <rPr>
            <sz val="10"/>
            <rFont val="Arial"/>
            <family val="2"/>
          </rPr>
          <t xml:space="preserve">posted to wrong job in SAP - corrected from stores slip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5" authorId="0">
      <text>
        <r>
          <rPr>
            <sz val="10"/>
            <rFont val="Arial"/>
            <family val="2"/>
          </rPr>
          <t xml:space="preserve">hrs not noted (supervisor on leave) - taken as 8 hrs (full shift)</t>
        </r>
      </text>
    </comment>
  </commentList>
</comments>
</file>

<file path=xl/sharedStrings.xml><?xml version="1.0" encoding="utf-8"?>
<sst xmlns="http://schemas.openxmlformats.org/spreadsheetml/2006/main" count="2490" uniqueCount="546">
  <si>
    <t xml:space="preserve">Export Packing - Cost per Vessel and Outsourcing Check</t>
  </si>
  <si>
    <t xml:space="preserve">FRP pressure vessels 1.4-3.0 m  |  19 export packing jobs, Oct-25 to Jul-26  |  rates as of Aug-26</t>
  </si>
  <si>
    <t xml:space="preserve">Case study by Kousani Das  |  Sep-2026  |  all data simulated for illustration - no company, customer or supplier data included (see Notes)</t>
  </si>
  <si>
    <t xml:space="preserve">SELECT</t>
  </si>
  <si>
    <t xml:space="preserve">KEY FINDINGS</t>
  </si>
  <si>
    <t xml:space="preserve">Vessel size (mm)</t>
  </si>
  <si>
    <t xml:space="preserve">Vessels per shipment</t>
  </si>
  <si>
    <t xml:space="preserve">4. Next step: release the proposed BOMs. Buy ready-made skids only if the packing bay becomes a bottleneck.</t>
  </si>
  <si>
    <t xml:space="preserve">Vessels packed</t>
  </si>
  <si>
    <t xml:space="preserve">Avg cost per vessel - container sizes</t>
  </si>
  <si>
    <t xml:space="preserve">Avg cost per vessel - flat-rack sizes</t>
  </si>
  <si>
    <t xml:space="preserve">Rupee move since USD price set</t>
  </si>
  <si>
    <t xml:space="preserve">Cheapest for selected size</t>
  </si>
  <si>
    <t xml:space="preserve">Terms</t>
  </si>
  <si>
    <t xml:space="preserve">• Flat rack: open container frame for vessels too wide for a closed container door</t>
  </si>
  <si>
    <t xml:space="preserve">• 40HC: 40-ft high-cube container.  Skid / saddle: timber base the vessel lies on</t>
  </si>
  <si>
    <t xml:space="preserve">• PK-A / PK-B / PK-C: contractor labour only / buy ready-made skids / turnkey packer</t>
  </si>
  <si>
    <t xml:space="preserve">• Packing-bay day: one day of the packing area being used.  Mistri / jogali: carpenter / helper</t>
  </si>
  <si>
    <t xml:space="preserve">Notes - what this workbook does</t>
  </si>
  <si>
    <t xml:space="preserve">Goal</t>
  </si>
  <si>
    <t xml:space="preserve">Management asked for two things: close the gap between actual and design BOMs, and decide which outsourced activities should be done in-house. Export packing had a written BOM for only one vessel size (2.0 m); every other size was packed as the supervisor decided. This workbook costs the past packing jobs, proposes a standard BOM for the 6 sizes without one, and compares in-house packing with three outsourcing options.</t>
  </si>
  <si>
    <t xml:space="preserve">Roles</t>
  </si>
  <si>
    <t xml:space="preserve">Engineering inputs (packing method, vessel dimensions, what a BOM should contain) came from the project engineer. Data collection, cleaning, the costing model, the analysis and the dashboard are my work.</t>
  </si>
  <si>
    <t xml:space="preserve">Data</t>
  </si>
  <si>
    <t xml:space="preserve">Fictional case study. All data - orders, SAP stores issues, labour log, BOM, vendor quotes - is simulated to mirror the structure of real SAP exports and shop records. No company, customer or supplier data is included. Material rates, wages and USD-INR are anchored to public market data (links at the bottom of Data - Rates).</t>
  </si>
  <si>
    <t xml:space="preserve">Steps</t>
  </si>
  <si>
    <t xml:space="preserve">1) Pasted the SAP export and logs (Data tabs).  2) Added check columns: corrected job, size, rate item, timber cft, fixed dates and hours, rate conversions.  3) Costed each job (Job Costing).  4) Averaged use per vessel by size = proposed standard (Proposed Std).  5) Compared in-house with 3 outsourcing options (Size Model, Outsourcing).  6) Dashboard.</t>
  </si>
  <si>
    <t xml:space="preserve">Data issues fixed</t>
  </si>
  <si>
    <t xml:space="preserve">2 SAP lines posted to the wrong job and 1 job with Ref2 blank (job taken from comments); 3 dates typed as text; 1 day of hours not noted (8 hrs taken); timber quoted once per CBM, tape per box of 12; 1 rate including GST; 1 typo (Rs 1,660/kg should be 166); 27 vendor item names mapped to 13 items.</t>
  </si>
  <si>
    <t xml:space="preserve">Assumptions</t>
  </si>
  <si>
    <t xml:space="preserve">Design pressure 7.5-10 bar (wall thickness at the upper end - a few mm, no effect on packing cost).  Jobs before Feb-26 have no labour record: labour = average hours per vessel of logged jobs of the same size.  OT paid at double rate.  Supervision + marking Rs 1,025 per shipment.  Crews: 24 man-hrs/day in-house, 40 for PK-C.  Billed packaging price is an illustrative index.  All assumptions are on the Inputs tab.</t>
  </si>
  <si>
    <t xml:space="preserve">Limitations</t>
  </si>
  <si>
    <t xml:space="preserve">Small sample - 19 jobs, 1 to 5 per size.  Proposed standards are averages and need production sign-off.  Flat-rack lashing not checked against sea-transport forces.  Vendor quotes are estimates built from market rates.</t>
  </si>
  <si>
    <t xml:space="preserve">Flat rack = open container frame for over-width cargo.  40HC = 40-ft high-cube container.  Skid / saddle = timber base.  Packing-bay day = one day of the packing area in use.  Mistri / jogali = carpenter / helper.  PK-A / PK-B / PK-C = contractor labour only / buy ready-made skids / turnkey packer.</t>
  </si>
  <si>
    <t xml:space="preserve">Inputs</t>
  </si>
  <si>
    <t xml:space="preserve">Blue on green = typed by me. Black = linked. Change assumptions here only.</t>
  </si>
  <si>
    <t xml:space="preserve">1. Current rates (latest valid line in Data - Rates)</t>
  </si>
  <si>
    <t xml:space="preserve">Item</t>
  </si>
  <si>
    <t xml:space="preserve">UoM</t>
  </si>
  <si>
    <t xml:space="preserve">Rate ₹</t>
  </si>
  <si>
    <t xml:space="preserve">As of</t>
  </si>
  <si>
    <t xml:space="preserve">Rates row</t>
  </si>
  <si>
    <t xml:space="preserve">Timber</t>
  </si>
  <si>
    <t xml:space="preserve">cft</t>
  </si>
  <si>
    <t xml:space="preserve">Nails</t>
  </si>
  <si>
    <t xml:space="preserve">set</t>
  </si>
  <si>
    <t xml:space="preserve">Foam</t>
  </si>
  <si>
    <t xml:space="preserve">roll</t>
  </si>
  <si>
    <t xml:space="preserve">Ratchet belt</t>
  </si>
  <si>
    <t xml:space="preserve">nos</t>
  </si>
  <si>
    <t xml:space="preserve">Gum tape</t>
  </si>
  <si>
    <t xml:space="preserve">Stretch film</t>
  </si>
  <si>
    <t xml:space="preserve">kg</t>
  </si>
  <si>
    <t xml:space="preserve">Bubble wrap</t>
  </si>
  <si>
    <t xml:space="preserve">Ply cover</t>
  </si>
  <si>
    <t xml:space="preserve">Tarpaulin</t>
  </si>
  <si>
    <t xml:space="preserve">sqft</t>
  </si>
  <si>
    <t xml:space="preserve">Fumigation</t>
  </si>
  <si>
    <t xml:space="preserve">per 40HC</t>
  </si>
  <si>
    <t xml:space="preserve">Carpenter</t>
  </si>
  <si>
    <t xml:space="preserve">day</t>
  </si>
  <si>
    <t xml:space="preserve">Helper</t>
  </si>
  <si>
    <t xml:space="preserve">2. Labour and other assumptions</t>
  </si>
  <si>
    <t xml:space="preserve">Contractor margin on labour</t>
  </si>
  <si>
    <t xml:space="preserve">labour contractor bill</t>
  </si>
  <si>
    <t xml:space="preserve">Working hours per day</t>
  </si>
  <si>
    <t xml:space="preserve">WB: 8.5 hr day incl. 0.5 hr rest</t>
  </si>
  <si>
    <t xml:space="preserve">Supervision + marking per shipment ₹</t>
  </si>
  <si>
    <t xml:space="preserve">0.5 day supervisor (~₹425) + stencil/labels/photos ₹600</t>
  </si>
  <si>
    <t xml:space="preserve">Our packing crew (man-hrs per day)</t>
  </si>
  <si>
    <t xml:space="preserve">1 mistri + 2 jogali x 8 hrs</t>
  </si>
  <si>
    <t xml:space="preserve">PK-C crew (man-hrs per day)</t>
  </si>
  <si>
    <t xml:space="preserve">assumed 5-man crew</t>
  </si>
  <si>
    <t xml:space="preserve">PK-B skid sets per tempo trip</t>
  </si>
  <si>
    <t xml:space="preserve">assumed</t>
  </si>
  <si>
    <t xml:space="preserve">Value of a free packing-bay day ₹</t>
  </si>
  <si>
    <t xml:space="preserve">0 = ignore. Set &gt;0 if the packing bay is a bottleneck</t>
  </si>
  <si>
    <t xml:space="preserve">3. Wage history (from Data - Rates) - used by job date</t>
  </si>
  <si>
    <t xml:space="preserve">From date</t>
  </si>
  <si>
    <t xml:space="preserve">Carpenter ₹/day</t>
  </si>
  <si>
    <t xml:space="preserve">Helper ₹/day</t>
  </si>
  <si>
    <t xml:space="preserve">4. Fumigation rate history (per 40HC container)</t>
  </si>
  <si>
    <t xml:space="preserve">₹ per container</t>
  </si>
  <si>
    <t xml:space="preserve">5. Outsourcing quotes per vessel (from quote e-mails, Aug-Sep 26)</t>
  </si>
  <si>
    <t xml:space="preserve">Size (mm)</t>
  </si>
  <si>
    <t xml:space="preserve">PK-A labour only</t>
  </si>
  <si>
    <t xml:space="preserve">PK-B skid set</t>
  </si>
  <si>
    <t xml:space="preserve">PK-C turnkey</t>
  </si>
  <si>
    <t xml:space="preserve">NQ = not quoted (PK-C does not take jobs below 1.8 m)</t>
  </si>
  <si>
    <t xml:space="preserve">NQ</t>
  </si>
  <si>
    <t xml:space="preserve">PK-A mobilisation per visit ₹</t>
  </si>
  <si>
    <t xml:space="preserve">PK-B tempo per trip ₹</t>
  </si>
  <si>
    <t xml:space="preserve">PK-C mobilisation per visit ₹</t>
  </si>
  <si>
    <t xml:space="preserve">6. Vessel dimensions (engineering inputs - typical proportions, approx.)</t>
  </si>
  <si>
    <t xml:space="preserve">Design pressure (bar)</t>
  </si>
  <si>
    <t xml:space="preserve">Wall thk range (mm)</t>
  </si>
  <si>
    <t xml:space="preserve">Wall used (mm)</t>
  </si>
  <si>
    <t xml:space="preserve">OD (mm)</t>
  </si>
  <si>
    <t xml:space="preserve">Dish to dish (mm)</t>
  </si>
  <si>
    <t xml:space="preserve">Overall length (mm)</t>
  </si>
  <si>
    <t xml:space="preserve">Packed width</t>
  </si>
  <si>
    <t xml:space="preserve">Packed height</t>
  </si>
  <si>
    <t xml:space="preserve">Fits 40HC door?</t>
  </si>
  <si>
    <t xml:space="preserve">Ship mode</t>
  </si>
  <si>
    <t xml:space="preserve">Vsl per 40HC</t>
  </si>
  <si>
    <t xml:space="preserve">7.5 - 10</t>
  </si>
  <si>
    <t xml:space="preserve">11.5 - 14</t>
  </si>
  <si>
    <t xml:space="preserve">12.5 - 15.5</t>
  </si>
  <si>
    <t xml:space="preserve">13.5 - 17</t>
  </si>
  <si>
    <t xml:space="preserve">14.5 - 18.5</t>
  </si>
  <si>
    <t xml:space="preserve">17 - 21</t>
  </si>
  <si>
    <t xml:space="preserve">18 - 22.5</t>
  </si>
  <si>
    <t xml:space="preserve">20 - 25.5</t>
  </si>
  <si>
    <t xml:space="preserve">Design pressure taken as a 7.5-10 bar range; wall thickness at the upper end is used (a few mm - no effect on packing cost).</t>
  </si>
  <si>
    <t xml:space="preserve">40HC door approx 2340 W x 2585 H; packed width = OD + 60 (wrap), height = OD + 280 (saddle + wrap); container length 12,032 mm.</t>
  </si>
  <si>
    <t xml:space="preserve">7. USD-INR and billed packaging charge</t>
  </si>
  <si>
    <t xml:space="preserve">Date</t>
  </si>
  <si>
    <t xml:space="preserve">USD-INR</t>
  </si>
  <si>
    <t xml:space="preserve">Source</t>
  </si>
  <si>
    <t xml:space="preserve">bookmyforex.com</t>
  </si>
  <si>
    <t xml:space="preserve">PTI via taxtmi.com</t>
  </si>
  <si>
    <t xml:space="preserve">motilaloswal.com</t>
  </si>
  <si>
    <t xml:space="preserve">newsonair.gov.in</t>
  </si>
  <si>
    <t xml:space="preserve">business-standard.com</t>
  </si>
  <si>
    <t xml:space="preserve">newsarenaindia.com</t>
  </si>
  <si>
    <t xml:space="preserve">muthootsecurities.com</t>
  </si>
  <si>
    <t xml:space="preserve">cholasecurities.com</t>
  </si>
  <si>
    <t xml:space="preserve">hdfcsky.com</t>
  </si>
  <si>
    <t xml:space="preserve">dailypioneer.com</t>
  </si>
  <si>
    <t xml:space="preserve">etvbharat.com</t>
  </si>
  <si>
    <t xml:space="preserve">USD-INR when USD packaging price was set</t>
  </si>
  <si>
    <t xml:space="preserve">USD-INR now (latest above)</t>
  </si>
  <si>
    <t xml:space="preserve">Billed packaging index (2.4 m = 100)</t>
  </si>
  <si>
    <t xml:space="preserve">Index base - USD per 100 (illustrative)</t>
  </si>
  <si>
    <t xml:space="preserve">illustrative value</t>
  </si>
  <si>
    <t xml:space="preserve">Job costing - packing cost per job (actuals)</t>
  </si>
  <si>
    <t xml:space="preserve">Blue = typed from SAP sales orders / GR docs.  Jobs before Feb-26 have no labour record - average hrs per vessel of the same size used.</t>
  </si>
  <si>
    <t xml:space="preserve">Job no.</t>
  </si>
  <si>
    <t xml:space="preserve">Vessels</t>
  </si>
  <si>
    <t xml:space="preserve">Packed on</t>
  </si>
  <si>
    <t xml:space="preserve">Timber ₹</t>
  </si>
  <si>
    <t xml:space="preserve">Consumables ₹</t>
  </si>
  <si>
    <t xml:space="preserve">Returns ₹</t>
  </si>
  <si>
    <t xml:space="preserve">Material ₹</t>
  </si>
  <si>
    <t xml:space="preserve">Mistri hrs (log)</t>
  </si>
  <si>
    <t xml:space="preserve">Jogali hrs (log)</t>
  </si>
  <si>
    <t xml:space="preserve">Labour record?</t>
  </si>
  <si>
    <t xml:space="preserve">Mistri hrs / vsl</t>
  </si>
  <si>
    <t xml:space="preserve">Jogali hrs / vsl</t>
  </si>
  <si>
    <t xml:space="preserve">Mistri hrs used</t>
  </si>
  <si>
    <t xml:space="preserve">Jogali hrs used</t>
  </si>
  <si>
    <t xml:space="preserve">Labour ₹</t>
  </si>
  <si>
    <t xml:space="preserve">OT hrs</t>
  </si>
  <si>
    <t xml:space="preserve">OT extra ₹</t>
  </si>
  <si>
    <t xml:space="preserve">Fumigation ₹</t>
  </si>
  <si>
    <t xml:space="preserve">Supervision ₹</t>
  </si>
  <si>
    <t xml:space="preserve">Total ₹</t>
  </si>
  <si>
    <t xml:space="preserve">₹ per vessel</t>
  </si>
  <si>
    <t xml:space="preserve">USD per vessel</t>
  </si>
  <si>
    <t xml:space="preserve">Timber cft issued</t>
  </si>
  <si>
    <t xml:space="preserve">Notes</t>
  </si>
  <si>
    <t xml:space="preserve">J/25-26/135</t>
  </si>
  <si>
    <t xml:space="preserve">no labour record (before Feb-26)</t>
  </si>
  <si>
    <t xml:space="preserve">J/25-26/118</t>
  </si>
  <si>
    <t xml:space="preserve">J/25-26/120</t>
  </si>
  <si>
    <t xml:space="preserve">J/25-26/122</t>
  </si>
  <si>
    <t xml:space="preserve">no labour record (before Feb-26); 3 battens split - addl issue</t>
  </si>
  <si>
    <t xml:space="preserve">J/25-26/124</t>
  </si>
  <si>
    <t xml:space="preserve">J/25-26/130</t>
  </si>
  <si>
    <t xml:space="preserve">J/25-26/134</t>
  </si>
  <si>
    <t xml:space="preserve">released BOM (first packing BOM)</t>
  </si>
  <si>
    <t xml:space="preserve">J/25-26/139</t>
  </si>
  <si>
    <t xml:space="preserve">J/25-26/143</t>
  </si>
  <si>
    <t xml:space="preserve">J/25-26/145</t>
  </si>
  <si>
    <t xml:space="preserve">J/25-26/151</t>
  </si>
  <si>
    <t xml:space="preserve">J/25-26/152</t>
  </si>
  <si>
    <t xml:space="preserve">1 day hrs not noted - 8 hrs taken</t>
  </si>
  <si>
    <t xml:space="preserve">J/25-26/156</t>
  </si>
  <si>
    <t xml:space="preserve">J/25-26/137</t>
  </si>
  <si>
    <t xml:space="preserve">1 + 2 nos, 2 dispatches</t>
  </si>
  <si>
    <t xml:space="preserve">J/25-26/158</t>
  </si>
  <si>
    <t xml:space="preserve">J/25-26/164</t>
  </si>
  <si>
    <t xml:space="preserve">J/25-26/165</t>
  </si>
  <si>
    <t xml:space="preserve">2 lines posted to wrong job in SAP - corrected</t>
  </si>
  <si>
    <t xml:space="preserve">J/25-26/167</t>
  </si>
  <si>
    <t xml:space="preserve">J/26-27/018</t>
  </si>
  <si>
    <t xml:space="preserve">TOTAL</t>
  </si>
  <si>
    <t xml:space="preserve">OT is paid at double rate, so OT hours add one extra ordinary rate (average of carpenter and helper).  Fumigation = containers x rate for 40HC jobs.</t>
  </si>
  <si>
    <t xml:space="preserve">Proposed packing standard per vessel - worked out from past jobs</t>
  </si>
  <si>
    <t xml:space="preserve">No BOM existed except for 2.0 m. Average used per vessel by size = the proposed standard, to be signed off by production.</t>
  </si>
  <si>
    <t xml:space="preserve">Jobs packed</t>
  </si>
  <si>
    <t xml:space="preserve">A. Average used per vessel (SAP issues / vessels)</t>
  </si>
  <si>
    <t xml:space="preserve">includes spares and splits seen in the issues</t>
  </si>
  <si>
    <t xml:space="preserve">2.0 m: BOM quantity + 1 roll re-wrap after rain</t>
  </si>
  <si>
    <t xml:space="preserve">B. Standard cost per vessel at current rates (₹)</t>
  </si>
  <si>
    <t xml:space="preserve">Material cost per vessel</t>
  </si>
  <si>
    <t xml:space="preserve">C. Actual vs design BOM - 2.0 m (the one size with a BOM; earlier jobs were packed before it existed)</t>
  </si>
  <si>
    <t xml:space="preserve">Released BOM</t>
  </si>
  <si>
    <t xml:space="preserve">Average used</t>
  </si>
  <si>
    <t xml:space="preserve">Difference</t>
  </si>
  <si>
    <t xml:space="preserve">D. Draft BOM for release - timber pieces per vessel, by size</t>
  </si>
  <si>
    <t xml:space="preserve">Avg pieces / vsl</t>
  </si>
  <si>
    <t xml:space="preserve">Proposed pieces / vsl</t>
  </si>
  <si>
    <t xml:space="preserve">WOODEN BATTEN 100 X 100 X 900 LG</t>
  </si>
  <si>
    <t xml:space="preserve">WOODEN BATTEN 100 X 75 X 100 LG</t>
  </si>
  <si>
    <t xml:space="preserve">WOODEN BATTEN 150 X 150 X 300 LG</t>
  </si>
  <si>
    <t xml:space="preserve">WOODEN BATTEN 150 X 75 X 2550 LG</t>
  </si>
  <si>
    <t xml:space="preserve">WOODEN BATTEN 150 X 75 X 900 LG</t>
  </si>
  <si>
    <t xml:space="preserve">WOODEN BATTEN 100 X 100 X 1050 LG</t>
  </si>
  <si>
    <t xml:space="preserve">WOODEN BATTEN 150 X 75 X 1050 LG</t>
  </si>
  <si>
    <t xml:space="preserve">WOODEN BATTEN 150 X 75 X 2650 LG</t>
  </si>
  <si>
    <t xml:space="preserve">WOODEN BATTEN 100 X 100 X 1150 LG</t>
  </si>
  <si>
    <t xml:space="preserve">WOODEN BATTEN 150 X 75 X 1150 LG</t>
  </si>
  <si>
    <t xml:space="preserve">WOODEN BATTEN 150 X 75 X 2850 LG</t>
  </si>
  <si>
    <t xml:space="preserve">WOODEN BATTEN 100 X 100 X 1300 LG</t>
  </si>
  <si>
    <t xml:space="preserve">WOODEN BATTEN 150 X 75 X 1300 LG</t>
  </si>
  <si>
    <t xml:space="preserve">WOODEN BATTEN 150 X 75 X 2450 LG</t>
  </si>
  <si>
    <t xml:space="preserve">WOODEN BATTEN 100 X 100 X 1550 LG</t>
  </si>
  <si>
    <t xml:space="preserve">WOODEN BATTEN 150 X 75 X 1550 LG</t>
  </si>
  <si>
    <t xml:space="preserve">WOODEN BATTEN 150 X 75 X 3550 LG</t>
  </si>
  <si>
    <t xml:space="preserve">WOODEN BATTEN 200 X 200 X 400 LG</t>
  </si>
  <si>
    <t xml:space="preserve">WOODEN BATTEN 100 X 100 X 1700 LG</t>
  </si>
  <si>
    <t xml:space="preserve">WOODEN BATTEN 150 X 75 X 1700 LG</t>
  </si>
  <si>
    <t xml:space="preserve">WOODEN BATTEN 150 X 75 X 3750 LG</t>
  </si>
  <si>
    <t xml:space="preserve">WOODEN BATTEN 100 X 100 X 1950 LG</t>
  </si>
  <si>
    <t xml:space="preserve">WOODEN BATTEN 150 X 75 X 1950 LG</t>
  </si>
  <si>
    <t xml:space="preserve">WOODEN BATTEN 150 X 75 X 4100 LG</t>
  </si>
  <si>
    <t xml:space="preserve">Proposed pieces = average rounded. For flat-rack sizes (2.4 m+) the saddles are heavier (200 x 200) - production to confirm.</t>
  </si>
  <si>
    <t xml:space="preserve">Size model - in-house vs outsourcing, per vessel at current rates</t>
  </si>
  <si>
    <t xml:space="preserve">Vessels per shipment from the Dashboard.  Proposed standard from 'Proposed Std'.</t>
  </si>
  <si>
    <t xml:space="preserve">Vessels per 40HC container</t>
  </si>
  <si>
    <t xml:space="preserve">Per vessel - proposed standard, current rates</t>
  </si>
  <si>
    <t xml:space="preserve">  of which nails ₹</t>
  </si>
  <si>
    <t xml:space="preserve">Mistri hrs per vessel</t>
  </si>
  <si>
    <t xml:space="preserve">average of jobs with a labour record</t>
  </si>
  <si>
    <t xml:space="preserve">Jogali hrs per vessel</t>
  </si>
  <si>
    <t xml:space="preserve">  of which wrapping (jogali) ₹</t>
  </si>
  <si>
    <t xml:space="preserve">Per shipment</t>
  </si>
  <si>
    <t xml:space="preserve">Fumigation per shipment ₹</t>
  </si>
  <si>
    <t xml:space="preserve">Fixed cost per vessel ₹</t>
  </si>
  <si>
    <t xml:space="preserve">In-house</t>
  </si>
  <si>
    <t xml:space="preserve">Cash cost per vessel</t>
  </si>
  <si>
    <t xml:space="preserve">Packing-bay days per shipment</t>
  </si>
  <si>
    <t xml:space="preserve">Total per vessel (incl. bay value)</t>
  </si>
  <si>
    <t xml:space="preserve">PK-A - contractor labour only (our material)</t>
  </si>
  <si>
    <t xml:space="preserve">Quote per vessel</t>
  </si>
  <si>
    <t xml:space="preserve">PK-B - buy ready-made skids, we wrap</t>
  </si>
  <si>
    <t xml:space="preserve">Skid quote per vessel</t>
  </si>
  <si>
    <t xml:space="preserve">only wrapping happens in our bay</t>
  </si>
  <si>
    <t xml:space="preserve">PK-C - turnkey packer (their crew, our bay)</t>
  </si>
  <si>
    <t xml:space="preserve">Decision</t>
  </si>
  <si>
    <t xml:space="preserve">Lowest cost per vessel</t>
  </si>
  <si>
    <t xml:space="preserve">MIN skips NQ</t>
  </si>
  <si>
    <t xml:space="preserve">Cheapest option</t>
  </si>
  <si>
    <t xml:space="preserve">Bay-day value at which buying skids pays ₹</t>
  </si>
  <si>
    <t xml:space="preserve">extra cash per shipment / bay-days saved</t>
  </si>
  <si>
    <t xml:space="preserve">Turnkey quote vs our own cost (x)</t>
  </si>
  <si>
    <t xml:space="preserve">History and billed charge</t>
  </si>
  <si>
    <t xml:space="preserve">Actual cost per vessel (job history)</t>
  </si>
  <si>
    <t xml:space="preserve">Actual (history)</t>
  </si>
  <si>
    <t xml:space="preserve">Billed packaging USD per vessel (illustrative)</t>
  </si>
  <si>
    <t xml:space="preserve">Billed ₹ at today's USD-INR</t>
  </si>
  <si>
    <t xml:space="preserve">Margin per vessel ₹</t>
  </si>
  <si>
    <t xml:space="preserve">Chart data (Dashboard)</t>
  </si>
  <si>
    <t xml:space="preserve">Consumables</t>
  </si>
  <si>
    <t xml:space="preserve">Labour</t>
  </si>
  <si>
    <t xml:space="preserve">Fumigation + supervision</t>
  </si>
  <si>
    <t xml:space="preserve">Contractor labour (PK-A)</t>
  </si>
  <si>
    <t xml:space="preserve">Buy skids (PK-B)</t>
  </si>
  <si>
    <t xml:space="preserve">Turnkey (PK-C)</t>
  </si>
  <si>
    <t xml:space="preserve">Outsourcing check - selected size, cost per vessel by shipment size</t>
  </si>
  <si>
    <t xml:space="preserve">Size chosen on the Dashboard. Values pulled from Size Model with HLOOKUP.</t>
  </si>
  <si>
    <t xml:space="preserve">Selected size (mm)</t>
  </si>
  <si>
    <t xml:space="preserve">Vessels per 40HC</t>
  </si>
  <si>
    <t xml:space="preserve">Nails ₹</t>
  </si>
  <si>
    <t xml:space="preserve">Wrapping labour ₹</t>
  </si>
  <si>
    <t xml:space="preserve">PK-A quote</t>
  </si>
  <si>
    <t xml:space="preserve">PK-B skid quote</t>
  </si>
  <si>
    <t xml:space="preserve">PK-C quote</t>
  </si>
  <si>
    <t xml:space="preserve">Extra cost per vessel vs in-house (chart) - N/A = not quoted</t>
  </si>
  <si>
    <t xml:space="preserve">Contractor labour</t>
  </si>
  <si>
    <t xml:space="preserve">Buy skids</t>
  </si>
  <si>
    <t xml:space="preserve">Turnkey</t>
  </si>
  <si>
    <t xml:space="preserve">SAP Goods Issue export - packing items, Oct-25 to Aug-26 (pasted as values)</t>
  </si>
  <si>
    <t xml:space="preserve">Grey = SAP columns as exported. Green = columns I added.</t>
  </si>
  <si>
    <t xml:space="preserve">DocNum</t>
  </si>
  <si>
    <t xml:space="preserve">DocDate</t>
  </si>
  <si>
    <t xml:space="preserve">Ref2 (job in SAP)</t>
  </si>
  <si>
    <t xml:space="preserve">ItemCode</t>
  </si>
  <si>
    <t xml:space="preserve">Dscription</t>
  </si>
  <si>
    <t xml:space="preserve">Quantity</t>
  </si>
  <si>
    <t xml:space="preserve">UomCode</t>
  </si>
  <si>
    <t xml:space="preserve">Price</t>
  </si>
  <si>
    <t xml:space="preserve">LineTotal</t>
  </si>
  <si>
    <t xml:space="preserve">Comments</t>
  </si>
  <si>
    <t xml:space="preserve">Job (checked)</t>
  </si>
  <si>
    <t xml:space="preserve">Rate item</t>
  </si>
  <si>
    <t xml:space="preserve">Timber cft</t>
  </si>
  <si>
    <t xml:space="preserve">1900162</t>
  </si>
  <si>
    <t xml:space="preserve">AIR BUBBLE WRAP</t>
  </si>
  <si>
    <t xml:space="preserve">ROLL</t>
  </si>
  <si>
    <t xml:space="preserve">1900158</t>
  </si>
  <si>
    <t xml:space="preserve">GUM TAPE 3"</t>
  </si>
  <si>
    <t xml:space="preserve">NOS</t>
  </si>
  <si>
    <t xml:space="preserve">1900223</t>
  </si>
  <si>
    <t xml:space="preserve">HDPE TARPAULIN 200 GSM</t>
  </si>
  <si>
    <t xml:space="preserve">SQFT</t>
  </si>
  <si>
    <t xml:space="preserve">1900144</t>
  </si>
  <si>
    <t xml:space="preserve">KINI FOAM 12 MM THK X 1400 MM WD</t>
  </si>
  <si>
    <t xml:space="preserve">1900137</t>
  </si>
  <si>
    <t xml:space="preserve">NAILS (AS REQUIRED)</t>
  </si>
  <si>
    <t xml:space="preserve">SETS</t>
  </si>
  <si>
    <t xml:space="preserve">1900222</t>
  </si>
  <si>
    <t xml:space="preserve">PLY COVER 12 MM (MANHOLE/NOZZLE)</t>
  </si>
  <si>
    <t xml:space="preserve">1900151</t>
  </si>
  <si>
    <t xml:space="preserve">RATCHET LASHING BELT 8 M LG X 50 MM WD WITH LOCK</t>
  </si>
  <si>
    <t xml:space="preserve">1900160</t>
  </si>
  <si>
    <t xml:space="preserve">STRETCH FILM 50 MICRON</t>
  </si>
  <si>
    <t xml:space="preserve">KG</t>
  </si>
  <si>
    <t xml:space="preserve">1900205</t>
  </si>
  <si>
    <t xml:space="preserve">1900130</t>
  </si>
  <si>
    <t xml:space="preserve">1900208</t>
  </si>
  <si>
    <t xml:space="preserve">1900198</t>
  </si>
  <si>
    <t xml:space="preserve">1900196</t>
  </si>
  <si>
    <t xml:space="preserve">1900192</t>
  </si>
  <si>
    <t xml:space="preserve">1900194</t>
  </si>
  <si>
    <t xml:space="preserve">1900190</t>
  </si>
  <si>
    <t xml:space="preserve">1900186</t>
  </si>
  <si>
    <t xml:space="preserve">1900127</t>
  </si>
  <si>
    <t xml:space="preserve">1900189</t>
  </si>
  <si>
    <t xml:space="preserve">1900184</t>
  </si>
  <si>
    <t xml:space="preserve">ADDL ISSUE - BATTEN SPLIT DURING NAILING</t>
  </si>
  <si>
    <t xml:space="preserve">1900171</t>
  </si>
  <si>
    <t xml:space="preserve">1900169</t>
  </si>
  <si>
    <t xml:space="preserve">1900178</t>
  </si>
  <si>
    <t xml:space="preserve">1900117</t>
  </si>
  <si>
    <t xml:space="preserve">1900124</t>
  </si>
  <si>
    <t xml:space="preserve">1900114</t>
  </si>
  <si>
    <t xml:space="preserve">1900180</t>
  </si>
  <si>
    <t xml:space="preserve">1900183</t>
  </si>
  <si>
    <t xml:space="preserve">1900179</t>
  </si>
  <si>
    <t xml:space="preserve">1900218</t>
  </si>
  <si>
    <t xml:space="preserve">1900219</t>
  </si>
  <si>
    <t xml:space="preserve">1900215</t>
  </si>
  <si>
    <t xml:space="preserve">PKG J/25-26/151</t>
  </si>
  <si>
    <t xml:space="preserve">SHORT ISSUED EARLIER</t>
  </si>
  <si>
    <t xml:space="preserve">RE-WRAP 2 VSL (RAIN)</t>
  </si>
  <si>
    <t xml:space="preserve">Packing labour log - contractor (kept from Feb-26), pasted as values</t>
  </si>
  <si>
    <t xml:space="preserve">Before Feb-26 no labour record was kept.</t>
  </si>
  <si>
    <t xml:space="preserve">Category</t>
  </si>
  <si>
    <t xml:space="preserve">Nos</t>
  </si>
  <si>
    <t xml:space="preserve">Hrs/head</t>
  </si>
  <si>
    <t xml:space="preserve">OT hrs (tot)</t>
  </si>
  <si>
    <t xml:space="preserve">Man-hrs</t>
  </si>
  <si>
    <t xml:space="preserve">Job</t>
  </si>
  <si>
    <t xml:space="preserve">Work done</t>
  </si>
  <si>
    <t xml:space="preserve">Remarks</t>
  </si>
  <si>
    <t xml:space="preserve">Date (fixed)</t>
  </si>
  <si>
    <t xml:space="preserve">Hrs (fixed)</t>
  </si>
  <si>
    <t xml:space="preserve">Include?</t>
  </si>
  <si>
    <t xml:space="preserve">Mistri</t>
  </si>
  <si>
    <t xml:space="preserve">Pallet / saddle making</t>
  </si>
  <si>
    <t xml:space="preserve">Jogali</t>
  </si>
  <si>
    <t xml:space="preserve">helping mistri / shifting</t>
  </si>
  <si>
    <t xml:space="preserve">Foam / bubble / stretch + lashing</t>
  </si>
  <si>
    <t xml:space="preserve">misc - production help</t>
  </si>
  <si>
    <t xml:space="preserve">rain - work stopped 2 hrs</t>
  </si>
  <si>
    <t xml:space="preserve">Foam / bubble / stretch + lashing + tarpaulin</t>
  </si>
  <si>
    <t xml:space="preserve">Total Feb-26</t>
  </si>
  <si>
    <t xml:space="preserve">02.03.26</t>
  </si>
  <si>
    <t xml:space="preserve">timber unloading</t>
  </si>
  <si>
    <t xml:space="preserve">16.03.26</t>
  </si>
  <si>
    <t xml:space="preserve">17.03.26</t>
  </si>
  <si>
    <t xml:space="preserve">sup. on leave - hrs not noted</t>
  </si>
  <si>
    <t xml:space="preserve">Total Mar-26</t>
  </si>
  <si>
    <t xml:space="preserve">Total Apr-26</t>
  </si>
  <si>
    <t xml:space="preserve">Total May-26</t>
  </si>
  <si>
    <t xml:space="preserve">yard cleaning / shifting</t>
  </si>
  <si>
    <t xml:space="preserve">Total Jun-26</t>
  </si>
  <si>
    <t xml:space="preserve">re-wrap 2 vsl after rain</t>
  </si>
  <si>
    <t xml:space="preserve">shed roof leak</t>
  </si>
  <si>
    <t xml:space="preserve">Total Jul-26</t>
  </si>
  <si>
    <t xml:space="preserve">Total Aug-26</t>
  </si>
  <si>
    <t xml:space="preserve">Include = N for monthly total rows and non-job work (yard cleaning, unloading). 3 dates were typed as text (dd.mm.yy) - fixed in col J.</t>
  </si>
  <si>
    <t xml:space="preserve">Vendor rates - as received (bills, quotes, WhatsApp, phone)</t>
  </si>
  <si>
    <t xml:space="preserve">Green columns: my item name, use flag and conversion to the unit we consume.</t>
  </si>
  <si>
    <t xml:space="preserve">Item (as written)</t>
  </si>
  <si>
    <t xml:space="preserve">Party</t>
  </si>
  <si>
    <t xml:space="preserve">Rate</t>
  </si>
  <si>
    <t xml:space="preserve">Unit</t>
  </si>
  <si>
    <t xml:space="preserve">GST</t>
  </si>
  <si>
    <t xml:space="preserve">Incl/Excl</t>
  </si>
  <si>
    <t xml:space="preserve">How recd</t>
  </si>
  <si>
    <t xml:space="preserve">Use?</t>
  </si>
  <si>
    <t xml:space="preserve">Factor</t>
  </si>
  <si>
    <t xml:space="preserve">Rate per UoM</t>
  </si>
  <si>
    <t xml:space="preserve">Note</t>
  </si>
  <si>
    <t xml:space="preserve">Carpenter (contract)</t>
  </si>
  <si>
    <t xml:space="preserve">Labour contractor</t>
  </si>
  <si>
    <t xml:space="preserve">per day</t>
  </si>
  <si>
    <t xml:space="preserve">-</t>
  </si>
  <si>
    <t xml:space="preserve">Contract</t>
  </si>
  <si>
    <t xml:space="preserve">8 hr day + 10% contractor; above WB skilled min Rs483-491; KA carpentry skilled Rs697-714</t>
  </si>
  <si>
    <t xml:space="preserve">Y</t>
  </si>
  <si>
    <t xml:space="preserve">Helper / khalasi</t>
  </si>
  <si>
    <t xml:space="preserve">above WB semi-skilled min Zone A Rs439 (Jan-Jun 26)</t>
  </si>
  <si>
    <t xml:space="preserve">Pine wood 4x4, 6x3 (non HT)</t>
  </si>
  <si>
    <t xml:space="preserve">Saw mill A</t>
  </si>
  <si>
    <t xml:space="preserve">per cft</t>
  </si>
  <si>
    <t xml:space="preserve">18%</t>
  </si>
  <si>
    <t xml:space="preserve">Excl</t>
  </si>
  <si>
    <t xml:space="preserve">Verbal</t>
  </si>
  <si>
    <t xml:space="preserve">non-HT, domestic use only - NOT for export</t>
  </si>
  <si>
    <t xml:space="preserve">N</t>
  </si>
  <si>
    <t xml:space="preserve">not used: non-HT, domestic only</t>
  </si>
  <si>
    <t xml:space="preserve">Export pine HT stamped (IPPC)</t>
  </si>
  <si>
    <t xml:space="preserve">Timber trader B</t>
  </si>
  <si>
    <t xml:space="preserve">WhatsApp</t>
  </si>
  <si>
    <t xml:space="preserve">NZ pine Rs599-800 band + ~Rs50 HT premium</t>
  </si>
  <si>
    <t xml:space="preserve">Air bubble roll 1mtr x 50mtr</t>
  </si>
  <si>
    <t xml:space="preserve">Packing material dealer</t>
  </si>
  <si>
    <t xml:space="preserve">per roll</t>
  </si>
  <si>
    <t xml:space="preserve">Bill</t>
  </si>
  <si>
    <t xml:space="preserve">web ref Rs16.7/m2 (195 GSM roll); std 40-50 GSM cheaper per m2</t>
  </si>
  <si>
    <t xml:space="preserve">Stretch film 50 mic</t>
  </si>
  <si>
    <t xml:space="preserve">per kg</t>
  </si>
  <si>
    <t xml:space="preserve">China FOB $1.29-1.58/kg Rs113-139 @87.7 + freight/duty/dealer</t>
  </si>
  <si>
    <t xml:space="preserve">Gum tape 3in BOPP</t>
  </si>
  <si>
    <t xml:space="preserve">65 m roll; no public anchor pulled (&lt;1% of cost)</t>
  </si>
  <si>
    <t xml:space="preserve">MS wire nails 2/3/4 inch</t>
  </si>
  <si>
    <t xml:space="preserve">Hardware shop</t>
  </si>
  <si>
    <t xml:space="preserve">Cash memo</t>
  </si>
  <si>
    <t xml:space="preserve">1 set = approx 1.5 kg assorted; retail over IndiaMART Rs58/kg</t>
  </si>
  <si>
    <t xml:space="preserve">1 set = approx 1.5 kg</t>
  </si>
  <si>
    <t xml:space="preserve">Ratchet belt 50mm 8mtr</t>
  </si>
  <si>
    <t xml:space="preserve">per pc</t>
  </si>
  <si>
    <t xml:space="preserve">8m local make; ~0.8 x IndiaMART 10m low end</t>
  </si>
  <si>
    <t xml:space="preserve">Fumigation MB 40ft HC</t>
  </si>
  <si>
    <t xml:space="preserve">Fumigator (PPQS regd)</t>
  </si>
  <si>
    <t xml:space="preserve">per cntr</t>
  </si>
  <si>
    <t xml:space="preserve">cert incl.</t>
  </si>
  <si>
    <t xml:space="preserve">12mm ply (unbranded) for manhole/nozzle covers</t>
  </si>
  <si>
    <t xml:space="preserve">per sqft</t>
  </si>
  <si>
    <t xml:space="preserve">avg 3.2 sqft per cover (1xDN610,1xDN450,1xDN350,2 small)</t>
  </si>
  <si>
    <t xml:space="preserve">approx 3.2 sqft per cover</t>
  </si>
  <si>
    <t xml:space="preserve">HDPE tarpaulin 200 GSM</t>
  </si>
  <si>
    <t xml:space="preserve">Tarpaulin dealer</t>
  </si>
  <si>
    <t xml:space="preserve">200 GSM = 0.0186 kg/sqft x ~Rs260/kg + cut/eyelets</t>
  </si>
  <si>
    <t xml:space="preserve">Kini foam 12mm x 1400mm</t>
  </si>
  <si>
    <t xml:space="preserve">roll length 25m; 12mm so upper half of 10mm band</t>
  </si>
  <si>
    <t xml:space="preserve">Ratchet belt 50mm x 8m</t>
  </si>
  <si>
    <t xml:space="preserve">no test cert</t>
  </si>
  <si>
    <t xml:space="preserve">Export pine HT</t>
  </si>
  <si>
    <t xml:space="preserve">Ratchet lashing 50mm 8m 5T EN12195</t>
  </si>
  <si>
    <t xml:space="preserve">Lifting gear supplier</t>
  </si>
  <si>
    <t xml:space="preserve">Quotation</t>
  </si>
  <si>
    <t xml:space="preserve">branded w/ cert - not ordered; IndiaMART upper band</t>
  </si>
  <si>
    <t xml:space="preserve">not used: branded, not ordered</t>
  </si>
  <si>
    <t xml:space="preserve">STRECH FILM 50MIC</t>
  </si>
  <si>
    <t xml:space="preserve">typo - 1,660 should be 166</t>
  </si>
  <si>
    <t xml:space="preserve">Bubble wrap 1m x 50m</t>
  </si>
  <si>
    <t xml:space="preserve">PINE HT BATTEN</t>
  </si>
  <si>
    <t xml:space="preserve">per CBM</t>
  </si>
  <si>
    <t xml:space="preserve">quoted per CBM; rupee at record low - import cost up</t>
  </si>
  <si>
    <t xml:space="preserve">quoted per CBM - converted to cft</t>
  </si>
  <si>
    <t xml:space="preserve">revised Apr-26</t>
  </si>
  <si>
    <t xml:space="preserve">Hydra 14T hire (loading)</t>
  </si>
  <si>
    <t xml:space="preserve">Crane hire</t>
  </si>
  <si>
    <t xml:space="preserve">per shift</t>
  </si>
  <si>
    <t xml:space="preserve">8 hr x ~Rs940/hr; loading - shown for ref, NOT in pkg cost</t>
  </si>
  <si>
    <t xml:space="preserve">Hydra</t>
  </si>
  <si>
    <t xml:space="preserve">Nails assorted</t>
  </si>
  <si>
    <t xml:space="preserve">wire rod up ~8% Jan-Mar 26</t>
  </si>
  <si>
    <t xml:space="preserve">revised after WB min wage Jul-26 (Rs447/day semi-skilled Zone A)</t>
  </si>
  <si>
    <t xml:space="preserve">Ratchet belt 50mm 8m</t>
  </si>
  <si>
    <t xml:space="preserve">Stretch wrap 50mic LLDPE</t>
  </si>
  <si>
    <t xml:space="preserve">Incl</t>
  </si>
  <si>
    <t xml:space="preserve">incl GST</t>
  </si>
  <si>
    <t xml:space="preserve">rate incl. GST - GST removed</t>
  </si>
  <si>
    <t xml:space="preserve">EPE foam roll 12mm 1.4m</t>
  </si>
  <si>
    <t xml:space="preserve">BOPP tape 3" brown</t>
  </si>
  <si>
    <t xml:space="preserve">per box of 12</t>
  </si>
  <si>
    <t xml:space="preserve">box price</t>
  </si>
  <si>
    <t xml:space="preserve">box of 12 rolls</t>
  </si>
  <si>
    <t xml:space="preserve">MB fumigation 40HC + cert</t>
  </si>
  <si>
    <t xml:space="preserve">within PUB range Rs1,000-5,000 per FCL</t>
  </si>
  <si>
    <t xml:space="preserve">Air bubble roll</t>
  </si>
  <si>
    <t xml:space="preserve">verbal, valid 15 days; top of IndiaMART band</t>
  </si>
  <si>
    <t xml:space="preserve">Vendors wrote the same 13 items 27 different ways - col J maps each line to one item name.</t>
  </si>
  <si>
    <t xml:space="preserve">Market check on the web (Aug/Sep-26)</t>
  </si>
  <si>
    <t xml:space="preserve">Pine sawn (NZ)</t>
  </si>
  <si>
    <t xml:space="preserve">IndiaMART listings Rs 599 - 800 / cft</t>
  </si>
  <si>
    <t xml:space="preserve">https://www.mawoodwork.net/wood-timber.html</t>
  </si>
  <si>
    <t xml:space="preserve">HT pine pallets</t>
  </si>
  <si>
    <t xml:space="preserve">IndiaMART Rs 720 - 1,200 / cft</t>
  </si>
  <si>
    <t xml:space="preserve">https://m.indiamart.com/mr-packaging/industrial-pallet.html</t>
  </si>
  <si>
    <t xml:space="preserve">Seaworthy pkg service</t>
  </si>
  <si>
    <t xml:space="preserve">Rs 800 / cft onsite (basis not clear)</t>
  </si>
  <si>
    <t xml:space="preserve">https://m.indiamart.com/mpackagingindustryindia</t>
  </si>
  <si>
    <t xml:space="preserve">EPE foam 10mm roll</t>
  </si>
  <si>
    <t xml:space="preserve">Rs 1,600 - 2,500 / roll</t>
  </si>
  <si>
    <t xml:space="preserve">https://m.indiamart.com/matrix-engineering-co/epe-foam.html</t>
  </si>
  <si>
    <t xml:space="preserve">Ratchet 50mm x 10m</t>
  </si>
  <si>
    <t xml:space="preserve">USD 12 - 20 (IndiaMART)</t>
  </si>
  <si>
    <t xml:space="preserve">https://carinterior.alibaba.com/question/truck-belt-price-guide-buying-tips</t>
  </si>
  <si>
    <t xml:space="preserve">China FOB USD 1.29 - 1.58 / kg</t>
  </si>
  <si>
    <t xml:space="preserve">https://sourcing.hktdc.com/zh-Hans/Product-Detail/LLDPE-Stretch-Film-Roll-for-Pallet-Wrapping-1Z03P3QZD</t>
  </si>
  <si>
    <t xml:space="preserve">MS wire nail 3in</t>
  </si>
  <si>
    <t xml:space="preserve">Rs 58 / kg</t>
  </si>
  <si>
    <t xml:space="preserve">https://m.indiamart.com/mdwirestrading</t>
  </si>
  <si>
    <t xml:space="preserve">Fumigation FCL</t>
  </si>
  <si>
    <t xml:space="preserve">Rs 1,000 - 5,000 / cntr</t>
  </si>
  <si>
    <t xml:space="preserve">https://wareiq.com/resources/blogs/fumigation-certificate/</t>
  </si>
  <si>
    <t xml:space="preserve">WB min wage Jul-Dec 26</t>
  </si>
  <si>
    <t xml:space="preserve">Zone A: 406 / 447 / 491 per day</t>
  </si>
  <si>
    <t xml:space="preserve">https://wageindicator.org/ai/work/minimum-wage/countries/india/22516-west-bengal/22524-automobile-engineering-repairing-workshop-garages/</t>
  </si>
  <si>
    <t xml:space="preserve">4415 crates 5% (from 22.9.25), 4407 sawn 18%, 3923 films 18%</t>
  </si>
  <si>
    <t xml:space="preserve">https://busy.in/gst-rates/packing-material</t>
  </si>
  <si>
    <t xml:space="preserve">Item master - packing items (from SAP), with cft per piece added</t>
  </si>
  <si>
    <t xml:space="preserve">Item code</t>
  </si>
  <si>
    <t xml:space="preserve">Item name</t>
  </si>
  <si>
    <t xml:space="preserve">Group</t>
  </si>
  <si>
    <t xml:space="preserve">W (mm)</t>
  </si>
  <si>
    <t xml:space="preserve">T (mm)</t>
  </si>
  <si>
    <t xml:space="preserve">L (mm)</t>
  </si>
  <si>
    <t xml:space="preserve">cft per piece</t>
  </si>
  <si>
    <t xml:space="preserve">Last purchase ₹</t>
  </si>
  <si>
    <t xml:space="preserve">TIMBER</t>
  </si>
  <si>
    <t xml:space="preserve">PKG-CONS</t>
  </si>
  <si>
    <t xml:space="preserve">cft per piece = W x T x L (mm) / 10^9 x 35.31.  Rate item typed so each item can be priced from Inputs.</t>
  </si>
  <si>
    <t xml:space="preserve">Packing BOM - 2.0 m vessel - the only written packing BOM</t>
  </si>
  <si>
    <t xml:space="preserve">BOM written for a 6-vessel shipment. No BOM exists for the other sizes.</t>
  </si>
  <si>
    <t xml:space="preserve">S/N</t>
  </si>
  <si>
    <t xml:space="preserve">MOC</t>
  </si>
  <si>
    <t xml:space="preserve">Qty / vessel</t>
  </si>
  <si>
    <t xml:space="preserve">Qty for 6 vessels</t>
  </si>
  <si>
    <t xml:space="preserve">cft per vessel</t>
  </si>
  <si>
    <t xml:space="preserve">EXPORT PINE WOOD</t>
  </si>
  <si>
    <t xml:space="preserve">nos.</t>
  </si>
  <si>
    <t xml:space="preserve">MS</t>
  </si>
  <si>
    <t xml:space="preserve">sets</t>
  </si>
  <si>
    <t xml:space="preserve">FOAM</t>
  </si>
  <si>
    <t xml:space="preserve">rolls</t>
  </si>
  <si>
    <t xml:space="preserve">PE/PP/NYLON</t>
  </si>
  <si>
    <t xml:space="preserve">- - -</t>
  </si>
  <si>
    <t xml:space="preserve">LDPE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</si>
</sst>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\₹#,##0"/>
    <numFmt numFmtId="167" formatCode="0.0%"/>
    <numFmt numFmtId="168" formatCode="#,##0"/>
    <numFmt numFmtId="169" formatCode="#,##0.00"/>
    <numFmt numFmtId="170" formatCode="dd\-mmm\-yy"/>
    <numFmt numFmtId="171" formatCode="0%"/>
    <numFmt numFmtId="172" formatCode="0.0"/>
    <numFmt numFmtId="173" formatCode="0.00"/>
    <numFmt numFmtId="174" formatCode="\$#,##0"/>
    <numFmt numFmtId="175" formatCode="0.00\x"/>
    <numFmt numFmtId="176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5E20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1"/>
      <color rgb="FF1B5E20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1B5E20"/>
      <name val="Calibri"/>
      <family val="0"/>
      <charset val="1"/>
    </font>
    <font>
      <b val="true"/>
      <sz val="9"/>
      <color rgb="FF2E7D32"/>
      <name val="Calibri"/>
      <family val="0"/>
      <charset val="1"/>
    </font>
    <font>
      <b val="true"/>
      <sz val="13"/>
      <color rgb="FF1B5E20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sz val="9"/>
      <color rgb="FF40404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5E2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Arial"/>
      <family val="2"/>
    </font>
    <font>
      <b val="true"/>
      <sz val="10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8E6C9"/>
        <bgColor rgb="FFD9D9D9"/>
      </patternFill>
    </fill>
    <fill>
      <patternFill patternType="solid">
        <fgColor rgb="FFE8F5E9"/>
        <bgColor rgb="FFFFFFFF"/>
      </patternFill>
    </fill>
    <fill>
      <patternFill patternType="solid">
        <fgColor rgb="FF1B5E20"/>
        <bgColor rgb="FF2E7D32"/>
      </patternFill>
    </fill>
    <fill>
      <patternFill patternType="solid">
        <fgColor rgb="FFD9D9D9"/>
        <bgColor rgb="FFE0E0E0"/>
      </patternFill>
    </fill>
    <fill>
      <patternFill patternType="solid">
        <fgColor rgb="FFA5D6A7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8F5E9"/>
      <rgbColor rgb="FFE0E0E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A5D6A7"/>
      <rgbColor rgb="FFFF99CC"/>
      <rgbColor rgb="FFCC99FF"/>
      <rgbColor rgb="FFFFCC99"/>
      <rgbColor rgb="FF3366FF"/>
      <rgbColor rgb="FF33CCCC"/>
      <rgbColor rgb="FF81C784"/>
      <rgbColor rgb="FFFFCC00"/>
      <rgbColor rgb="FFFF9900"/>
      <rgbColor rgb="FFFF6600"/>
      <rgbColor rgb="FF666699"/>
      <rgbColor rgb="FF878787"/>
      <rgbColor rgb="FF003366"/>
      <rgbColor rgb="FF43A047"/>
      <rgbColor rgb="FF003300"/>
      <rgbColor rgb="FF1B5E2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Actual packing cost per vessel by size (job history)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'Size Model'!B45</c:f>
              <c:strCache>
                <c:ptCount val="1"/>
                <c:pt idx="0">
                  <c:v>Actual (history)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Model'!$C$45:$I$45</c:f>
              <c:numCache>
                <c:formatCode>\₹#,##0</c:formatCode>
                <c:ptCount val="7"/>
                <c:pt idx="0">
                  <c:v>12744.7813333333</c:v>
                </c:pt>
                <c:pt idx="1">
                  <c:v>15620.5333333333</c:v>
                </c:pt>
                <c:pt idx="2">
                  <c:v>13641.5522222222</c:v>
                </c:pt>
                <c:pt idx="3">
                  <c:v>12395.6758928571</c:v>
                </c:pt>
                <c:pt idx="4">
                  <c:v>24341.99875</c:v>
                </c:pt>
                <c:pt idx="5">
                  <c:v>27468.2005034722</c:v>
                </c:pt>
                <c:pt idx="6">
                  <c:v>31278.6825</c:v>
                </c:pt>
              </c:numCache>
            </c:numRef>
          </c:val>
        </c:ser>
        <c:gapWidth val="150"/>
        <c:overlap val="0"/>
        <c:axId val="7481840"/>
        <c:axId val="10749812"/>
      </c:barChart>
      <c:catAx>
        <c:axId val="748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49812"/>
        <c:crosses val="autoZero"/>
        <c:auto val="1"/>
        <c:lblAlgn val="ctr"/>
        <c:lblOffset val="100"/>
        <c:noMultiLvlLbl val="0"/>
      </c:catAx>
      <c:valAx>
        <c:axId val="10749812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1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Proposed standard cost per vessel - what it is made of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'Size Model'!B51</c:f>
              <c:strCache>
                <c:ptCount val="1"/>
                <c:pt idx="0">
                  <c:v>Timber</c:v>
                </c:pt>
              </c:strCache>
            </c:strRef>
          </c:tx>
          <c:spPr>
            <a:solidFill>
              <a:srgbClr val="1b5e20"/>
            </a:solidFill>
            <a:ln w="0">
              <a:solidFill>
                <a:srgbClr val="1b5e2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Model'!$C$51:$I$51</c:f>
              <c:numCache>
                <c:formatCode>\₹#,##0</c:formatCode>
                <c:ptCount val="7"/>
                <c:pt idx="0">
                  <c:v>5518.3439025</c:v>
                </c:pt>
                <c:pt idx="1">
                  <c:v>6365.598525</c:v>
                </c:pt>
                <c:pt idx="2">
                  <c:v>5966.4336875</c:v>
                </c:pt>
                <c:pt idx="3">
                  <c:v>5658.1185375</c:v>
                </c:pt>
                <c:pt idx="4">
                  <c:v>12164.4999241071</c:v>
                </c:pt>
                <c:pt idx="5">
                  <c:v>13041.32919375</c:v>
                </c:pt>
                <c:pt idx="6">
                  <c:v>13074.8957625</c:v>
                </c:pt>
              </c:numCache>
            </c:numRef>
          </c:val>
        </c:ser>
        <c:ser>
          <c:idx val="1"/>
          <c:order val="1"/>
          <c:tx>
            <c:strRef>
              <c:f>'Size Model'!B52</c:f>
              <c:strCache>
                <c:ptCount val="1"/>
                <c:pt idx="0">
                  <c:v>Consumables</c:v>
                </c:pt>
              </c:strCache>
            </c:strRef>
          </c:tx>
          <c:spPr>
            <a:solidFill>
              <a:srgbClr val="43a047"/>
            </a:solidFill>
            <a:ln w="0">
              <a:solidFill>
                <a:srgbClr val="43a0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Model'!$C$52:$I$52</c:f>
              <c:numCache>
                <c:formatCode>\₹#,##0</c:formatCode>
                <c:ptCount val="7"/>
                <c:pt idx="0">
                  <c:v>5420.4406779661</c:v>
                </c:pt>
                <c:pt idx="1">
                  <c:v>6062.95480225989</c:v>
                </c:pt>
                <c:pt idx="2">
                  <c:v>5547.01694915254</c:v>
                </c:pt>
                <c:pt idx="3">
                  <c:v>4769.1392251816</c:v>
                </c:pt>
                <c:pt idx="4">
                  <c:v>11085.4987893462</c:v>
                </c:pt>
                <c:pt idx="5">
                  <c:v>13059.3587570621</c:v>
                </c:pt>
                <c:pt idx="6">
                  <c:v>16247.6892655367</c:v>
                </c:pt>
              </c:numCache>
            </c:numRef>
          </c:val>
        </c:ser>
        <c:ser>
          <c:idx val="2"/>
          <c:order val="2"/>
          <c:tx>
            <c:strRef>
              <c:f>'Size Model'!B53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81c784"/>
            </a:solidFill>
            <a:ln w="0">
              <a:solidFill>
                <a:srgbClr val="81c78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Model'!$C$53:$I$53</c:f>
              <c:numCache>
                <c:formatCode>\₹#,##0</c:formatCode>
                <c:ptCount val="7"/>
                <c:pt idx="0">
                  <c:v>968</c:v>
                </c:pt>
                <c:pt idx="1">
                  <c:v>1144</c:v>
                </c:pt>
                <c:pt idx="2">
                  <c:v>1190.75</c:v>
                </c:pt>
                <c:pt idx="3">
                  <c:v>1040.6</c:v>
                </c:pt>
                <c:pt idx="4">
                  <c:v>2330.53333333333</c:v>
                </c:pt>
                <c:pt idx="5">
                  <c:v>2330.625</c:v>
                </c:pt>
                <c:pt idx="6">
                  <c:v>2757.33333333333</c:v>
                </c:pt>
              </c:numCache>
            </c:numRef>
          </c:val>
        </c:ser>
        <c:ser>
          <c:idx val="3"/>
          <c:order val="3"/>
          <c:tx>
            <c:strRef>
              <c:f>'Size Model'!B54</c:f>
              <c:strCache>
                <c:ptCount val="1"/>
                <c:pt idx="0">
                  <c:v>Fumigation + supervision</c:v>
                </c:pt>
              </c:strCache>
            </c:strRef>
          </c:tx>
          <c:spPr>
            <a:solidFill>
              <a:srgbClr val="c8e6c9"/>
            </a:solidFill>
            <a:ln w="0">
              <a:solidFill>
                <a:srgbClr val="c8e6c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Model'!$C$54:$I$54</c:f>
              <c:numCache>
                <c:formatCode>\₹#,##0</c:formatCode>
                <c:ptCount val="7"/>
                <c:pt idx="0">
                  <c:v>2006.25</c:v>
                </c:pt>
                <c:pt idx="1">
                  <c:v>2006.25</c:v>
                </c:pt>
                <c:pt idx="2">
                  <c:v>2006.25</c:v>
                </c:pt>
                <c:pt idx="3">
                  <c:v>2006.25</c:v>
                </c:pt>
                <c:pt idx="4">
                  <c:v>256.25</c:v>
                </c:pt>
                <c:pt idx="5">
                  <c:v>256.25</c:v>
                </c:pt>
                <c:pt idx="6">
                  <c:v>256.25</c:v>
                </c:pt>
              </c:numCache>
            </c:numRef>
          </c:val>
        </c:ser>
        <c:gapWidth val="150"/>
        <c:overlap val="100"/>
        <c:axId val="39286794"/>
        <c:axId val="65481756"/>
      </c:barChart>
      <c:catAx>
        <c:axId val="392867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81756"/>
        <c:crosses val="autoZero"/>
        <c:auto val="1"/>
        <c:lblAlgn val="ctr"/>
        <c:lblOffset val="100"/>
        <c:noMultiLvlLbl val="0"/>
      </c:catAx>
      <c:valAx>
        <c:axId val="65481756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867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Cost per vessel by option, at the chosen shipment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'Size Model'!B56</c:f>
              <c:strCache>
                <c:ptCount val="1"/>
                <c:pt idx="0">
                  <c:v>In-house</c:v>
                </c:pt>
              </c:strCache>
            </c:strRef>
          </c:tx>
          <c:spPr>
            <a:solidFill>
              <a:srgbClr val="1b5e20"/>
            </a:solidFill>
            <a:ln w="0">
              <a:solidFill>
                <a:srgbClr val="1b5e2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Model'!$C$56:$I$56</c:f>
              <c:numCache>
                <c:formatCode>\₹#,##0</c:formatCode>
                <c:ptCount val="7"/>
                <c:pt idx="0">
                  <c:v>13913.0345804661</c:v>
                </c:pt>
                <c:pt idx="1">
                  <c:v>15578.8033272599</c:v>
                </c:pt>
                <c:pt idx="2">
                  <c:v>14710.4506366525</c:v>
                </c:pt>
                <c:pt idx="3">
                  <c:v>13474.1077626816</c:v>
                </c:pt>
                <c:pt idx="4">
                  <c:v>25836.7820467867</c:v>
                </c:pt>
                <c:pt idx="5">
                  <c:v>28687.5629508122</c:v>
                </c:pt>
                <c:pt idx="6">
                  <c:v>32336.1683613701</c:v>
                </c:pt>
              </c:numCache>
            </c:numRef>
          </c:val>
        </c:ser>
        <c:ser>
          <c:idx val="1"/>
          <c:order val="1"/>
          <c:tx>
            <c:strRef>
              <c:f>'Size Model'!B57</c:f>
              <c:strCache>
                <c:ptCount val="1"/>
                <c:pt idx="0">
                  <c:v>Contractor labour (PK-A)</c:v>
                </c:pt>
              </c:strCache>
            </c:strRef>
          </c:tx>
          <c:spPr>
            <a:solidFill>
              <a:srgbClr val="43a047"/>
            </a:solidFill>
            <a:ln w="0">
              <a:solidFill>
                <a:srgbClr val="43a0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Model'!$C$57:$I$57</c:f>
              <c:numCache>
                <c:formatCode>\₹#,##0</c:formatCode>
                <c:ptCount val="7"/>
                <c:pt idx="0">
                  <c:v>14370.0345804661</c:v>
                </c:pt>
                <c:pt idx="1">
                  <c:v>15959.8033272599</c:v>
                </c:pt>
                <c:pt idx="2">
                  <c:v>15244.7006366525</c:v>
                </c:pt>
                <c:pt idx="3">
                  <c:v>14058.5077626816</c:v>
                </c:pt>
                <c:pt idx="4">
                  <c:v>26331.2487134534</c:v>
                </c:pt>
                <c:pt idx="5">
                  <c:v>29281.9379508122</c:v>
                </c:pt>
                <c:pt idx="6">
                  <c:v>32903.8350280367</c:v>
                </c:pt>
              </c:numCache>
            </c:numRef>
          </c:val>
        </c:ser>
        <c:ser>
          <c:idx val="2"/>
          <c:order val="2"/>
          <c:tx>
            <c:strRef>
              <c:f>'Size Model'!B58</c:f>
              <c:strCache>
                <c:ptCount val="1"/>
                <c:pt idx="0">
                  <c:v>Buy skids (PK-B)</c:v>
                </c:pt>
              </c:strCache>
            </c:strRef>
          </c:tx>
          <c:spPr>
            <a:solidFill>
              <a:srgbClr val="81c784"/>
            </a:solidFill>
            <a:ln w="0">
              <a:solidFill>
                <a:srgbClr val="81c78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Model'!$C$58:$I$58</c:f>
              <c:numCache>
                <c:formatCode>\₹#,##0</c:formatCode>
                <c:ptCount val="7"/>
                <c:pt idx="0">
                  <c:v>15190.8906779661</c:v>
                </c:pt>
                <c:pt idx="1">
                  <c:v>16289.4548022599</c:v>
                </c:pt>
                <c:pt idx="2">
                  <c:v>16339.5169491525</c:v>
                </c:pt>
                <c:pt idx="3">
                  <c:v>15397.4177966102</c:v>
                </c:pt>
                <c:pt idx="4">
                  <c:v>28302.0202179177</c:v>
                </c:pt>
                <c:pt idx="5">
                  <c:v>31238.9837570621</c:v>
                </c:pt>
                <c:pt idx="6">
                  <c:v>36040.9392655367</c:v>
                </c:pt>
              </c:numCache>
            </c:numRef>
          </c:val>
        </c:ser>
        <c:ser>
          <c:idx val="3"/>
          <c:order val="3"/>
          <c:tx>
            <c:strRef>
              <c:f>'Size Model'!B59</c:f>
              <c:strCache>
                <c:ptCount val="1"/>
                <c:pt idx="0">
                  <c:v>Turnkey (PK-C)</c:v>
                </c:pt>
              </c:strCache>
            </c:strRef>
          </c:tx>
          <c:spPr>
            <a:solidFill>
              <a:srgbClr val="c8e6c9"/>
            </a:solidFill>
            <a:ln w="0">
              <a:solidFill>
                <a:srgbClr val="c8e6c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Model'!$C$4:$I$4</c:f>
              <c:strCache>
                <c:ptCount val="7"/>
                <c:pt idx="0">
                  <c:v>1400</c:v>
                </c:pt>
                <c:pt idx="1">
                  <c:v>1600</c:v>
                </c:pt>
                <c:pt idx="2">
                  <c:v>1800</c:v>
                </c:pt>
                <c:pt idx="3">
                  <c:v>2000</c:v>
                </c:pt>
                <c:pt idx="4">
                  <c:v>2400</c:v>
                </c:pt>
                <c:pt idx="5">
                  <c:v>2600</c:v>
                </c:pt>
                <c:pt idx="6">
                  <c:v>3000</c:v>
                </c:pt>
              </c:strCache>
            </c:strRef>
          </c:cat>
          <c:val>
            <c:numRef>
              <c:f>'Size Model'!$C$59:$I$59</c:f>
              <c:numCache>
                <c:formatCode>\₹#,##0</c:formatCode>
                <c:ptCount val="7"/>
                <c:pt idx="2">
                  <c:v>18881.25</c:v>
                </c:pt>
                <c:pt idx="3">
                  <c:v>17881.25</c:v>
                </c:pt>
                <c:pt idx="4">
                  <c:v>33131.25</c:v>
                </c:pt>
                <c:pt idx="5">
                  <c:v>35131.25</c:v>
                </c:pt>
                <c:pt idx="6">
                  <c:v>39631.25</c:v>
                </c:pt>
              </c:numCache>
            </c:numRef>
          </c:val>
        </c:ser>
        <c:gapWidth val="150"/>
        <c:overlap val="0"/>
        <c:axId val="12305108"/>
        <c:axId val="77915228"/>
      </c:barChart>
      <c:catAx>
        <c:axId val="12305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15228"/>
        <c:crosses val="autoZero"/>
        <c:auto val="1"/>
        <c:lblAlgn val="ctr"/>
        <c:lblOffset val="100"/>
        <c:noMultiLvlLbl val="0"/>
      </c:catAx>
      <c:valAx>
        <c:axId val="77915228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051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Extra cost per vessel vs in-house, by shipment size (selected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Outsourcing!G18</c:f>
              <c:strCache>
                <c:ptCount val="1"/>
                <c:pt idx="0">
                  <c:v>Contractor labour (PK-A)</c:v>
                </c:pt>
              </c:strCache>
            </c:strRef>
          </c:tx>
          <c:spPr>
            <a:solidFill>
              <a:srgbClr val="43a047"/>
            </a:solidFill>
            <a:ln w="28080">
              <a:solidFill>
                <a:srgbClr val="43a0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Outsourcing!$A$19:$A$28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Outsourcing!$G$19:$G$28</c:f>
              <c:numCache>
                <c:formatCode>\₹#,##0</c:formatCode>
                <c:ptCount val="10"/>
                <c:pt idx="0">
                  <c:v>2369.46666666667</c:v>
                </c:pt>
                <c:pt idx="1">
                  <c:v>1119.46666666667</c:v>
                </c:pt>
                <c:pt idx="2">
                  <c:v>702.799999999999</c:v>
                </c:pt>
                <c:pt idx="3">
                  <c:v>494.466666666667</c:v>
                </c:pt>
                <c:pt idx="4">
                  <c:v>369.466666666667</c:v>
                </c:pt>
                <c:pt idx="5">
                  <c:v>286.133333333335</c:v>
                </c:pt>
                <c:pt idx="6">
                  <c:v>226.609523809522</c:v>
                </c:pt>
                <c:pt idx="7">
                  <c:v>181.966666666667</c:v>
                </c:pt>
                <c:pt idx="8">
                  <c:v>147.244444444445</c:v>
                </c:pt>
                <c:pt idx="9">
                  <c:v>119.466666666667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Outsourcing!H18</c:f>
              <c:strCache>
                <c:ptCount val="1"/>
                <c:pt idx="0">
                  <c:v>Buy skids (PK-B)</c:v>
                </c:pt>
              </c:strCache>
            </c:strRef>
          </c:tx>
          <c:spPr>
            <a:solidFill>
              <a:srgbClr val="1b5e20"/>
            </a:solidFill>
            <a:ln w="28080">
              <a:solidFill>
                <a:srgbClr val="1b5e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Outsourcing!$A$19:$A$28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Outsourcing!$H$19:$H$28</c:f>
              <c:numCache>
                <c:formatCode>\₹#,##0</c:formatCode>
                <c:ptCount val="10"/>
                <c:pt idx="0">
                  <c:v>3365.23817113095</c:v>
                </c:pt>
                <c:pt idx="1">
                  <c:v>2465.23817113095</c:v>
                </c:pt>
                <c:pt idx="2">
                  <c:v>2165.23817113095</c:v>
                </c:pt>
                <c:pt idx="3">
                  <c:v>2465.23817113095</c:v>
                </c:pt>
                <c:pt idx="4">
                  <c:v>2285.23817113095</c:v>
                </c:pt>
                <c:pt idx="5">
                  <c:v>2165.23817113095</c:v>
                </c:pt>
                <c:pt idx="6">
                  <c:v>2336.66674255952</c:v>
                </c:pt>
                <c:pt idx="7">
                  <c:v>2240.23817113095</c:v>
                </c:pt>
                <c:pt idx="8">
                  <c:v>2165.23817113095</c:v>
                </c:pt>
                <c:pt idx="9">
                  <c:v>2285.23817113095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Outsourcing!I18</c:f>
              <c:strCache>
                <c:ptCount val="1"/>
                <c:pt idx="0">
                  <c:v>Turnkey (PK-C)</c:v>
                </c:pt>
              </c:strCache>
            </c:strRef>
          </c:tx>
          <c:spPr>
            <a:solidFill>
              <a:srgbClr val="81c784"/>
            </a:solidFill>
            <a:ln w="28080">
              <a:solidFill>
                <a:srgbClr val="81c78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Outsourcing!$A$19:$A$28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Outsourcing!$I$19:$I$28</c:f>
              <c:numCache>
                <c:formatCode>\₹#,##0</c:formatCode>
                <c:ptCount val="10"/>
                <c:pt idx="0">
                  <c:v>12919.4679532133</c:v>
                </c:pt>
                <c:pt idx="1">
                  <c:v>9169.46795321328</c:v>
                </c:pt>
                <c:pt idx="2">
                  <c:v>7919.46795321327</c:v>
                </c:pt>
                <c:pt idx="3">
                  <c:v>7294.46795321328</c:v>
                </c:pt>
                <c:pt idx="4">
                  <c:v>6919.46795321328</c:v>
                </c:pt>
                <c:pt idx="5">
                  <c:v>6669.46795321328</c:v>
                </c:pt>
                <c:pt idx="6">
                  <c:v>6490.89652464185</c:v>
                </c:pt>
                <c:pt idx="7">
                  <c:v>6356.96795321328</c:v>
                </c:pt>
                <c:pt idx="8">
                  <c:v>6252.80128654661</c:v>
                </c:pt>
                <c:pt idx="9">
                  <c:v>6169.46795321328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649681"/>
        <c:axId val="61305464"/>
      </c:lineChart>
      <c:catAx>
        <c:axId val="54649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Vessels per shipment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05464"/>
        <c:crosses val="autoZero"/>
        <c:auto val="1"/>
        <c:lblAlgn val="ctr"/>
        <c:lblOffset val="100"/>
        <c:noMultiLvlLbl val="0"/>
      </c:catAx>
      <c:valAx>
        <c:axId val="61305464"/>
        <c:scaling>
          <c:orientation val="minMax"/>
        </c:scaling>
        <c:delete val="0"/>
        <c:axPos val="l"/>
        <c:majorGridlines>
          <c:spPr>
            <a:ln w="9360">
              <a:solidFill>
                <a:srgbClr val="e0e0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extra per 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496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11520</xdr:rowOff>
    </xdr:from>
    <xdr:to>
      <xdr:col>6</xdr:col>
      <xdr:colOff>645840</xdr:colOff>
      <xdr:row>26</xdr:row>
      <xdr:rowOff>43920</xdr:rowOff>
    </xdr:to>
    <xdr:graphicFrame>
      <xdr:nvGraphicFramePr>
        <xdr:cNvPr id="0" name="Chart 1"/>
        <xdr:cNvGraphicFramePr/>
      </xdr:nvGraphicFramePr>
      <xdr:xfrm>
        <a:off x="141120" y="2476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11520</xdr:rowOff>
    </xdr:from>
    <xdr:to>
      <xdr:col>16</xdr:col>
      <xdr:colOff>152280</xdr:colOff>
      <xdr:row>26</xdr:row>
      <xdr:rowOff>43920</xdr:rowOff>
    </xdr:to>
    <xdr:graphicFrame>
      <xdr:nvGraphicFramePr>
        <xdr:cNvPr id="1" name="Chart 2"/>
        <xdr:cNvGraphicFramePr/>
      </xdr:nvGraphicFramePr>
      <xdr:xfrm>
        <a:off x="7400880" y="2476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11520</xdr:rowOff>
    </xdr:from>
    <xdr:to>
      <xdr:col>6</xdr:col>
      <xdr:colOff>645840</xdr:colOff>
      <xdr:row>42</xdr:row>
      <xdr:rowOff>44280</xdr:rowOff>
    </xdr:to>
    <xdr:graphicFrame>
      <xdr:nvGraphicFramePr>
        <xdr:cNvPr id="2" name="Chart 3"/>
        <xdr:cNvGraphicFramePr/>
      </xdr:nvGraphicFramePr>
      <xdr:xfrm>
        <a:off x="141120" y="55245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28</xdr:row>
      <xdr:rowOff>11520</xdr:rowOff>
    </xdr:from>
    <xdr:to>
      <xdr:col>16</xdr:col>
      <xdr:colOff>152280</xdr:colOff>
      <xdr:row>42</xdr:row>
      <xdr:rowOff>44280</xdr:rowOff>
    </xdr:to>
    <xdr:graphicFrame>
      <xdr:nvGraphicFramePr>
        <xdr:cNvPr id="3" name="Chart 4"/>
        <xdr:cNvGraphicFramePr/>
      </xdr:nvGraphicFramePr>
      <xdr:xfrm>
        <a:off x="7400880" y="55245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Green">
      <a:dk1>
        <a:srgbClr val="000000"/>
      </a:dk1>
      <a:lt1>
        <a:srgbClr val="ffffff"/>
      </a:lt1>
      <a:dk2>
        <a:srgbClr val="1b5e20"/>
      </a:dk2>
      <a:lt2>
        <a:srgbClr val="e8f5e9"/>
      </a:lt2>
      <a:accent1>
        <a:srgbClr val="2e7d32"/>
      </a:accent1>
      <a:accent2>
        <a:srgbClr val="81c784"/>
      </a:accent2>
      <a:accent3>
        <a:srgbClr val="a5d6a7"/>
      </a:accent3>
      <a:accent4>
        <a:srgbClr val="43a047"/>
      </a:accent4>
      <a:accent5>
        <a:srgbClr val="c8e6c9"/>
      </a:accent5>
      <a:accent6>
        <a:srgbClr val="7f7f7f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B1:R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8" min="3" style="0" width="11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  <c r="C5" s="5"/>
      <c r="D5" s="5"/>
      <c r="F5" s="4" t="s">
        <v>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B6" s="5" t="s">
        <v>5</v>
      </c>
      <c r="C6" s="5"/>
      <c r="D6" s="6" t="n">
        <v>2400</v>
      </c>
      <c r="F6" s="7" t="str">
        <f aca="false">"1. Actual vs design: 2.0 m jobs used "&amp;TEXT('Proposed Std'!D33/'Proposed Std'!C33-1,"0%")&amp;" more timber than the BOM. The other 6 sizes had no BOM - standards proposed from "&amp;COUNTIF('Job Costing'!B5:B23,"&lt;&gt;2000")&amp;" jobs."</f>
        <v>1. Actual vs design: 2.0 m jobs used 6% more timber than the BOM. The other 6 sizes had no BOM - standards proposed from 16 jobs.</v>
      </c>
    </row>
    <row r="7" customFormat="false" ht="15" hidden="false" customHeight="false" outlineLevel="0" collapsed="false">
      <c r="B7" s="5" t="s">
        <v>6</v>
      </c>
      <c r="C7" s="5"/>
      <c r="D7" s="6" t="n">
        <v>4</v>
      </c>
      <c r="F7" s="7" t="str">
        <f aca="false">"2. Flat-rack sizes (2.4 m and above) cost "&amp;TEXT(H11/E11,"0.0")&amp;"x a container size to pack - heavier saddles and weather cover."</f>
        <v>2. Flat-rack sizes (2.4 m and above) cost 2.0x a container size to pack - heavier saddles and weather cover.</v>
      </c>
    </row>
    <row r="8" customFormat="false" ht="15" hidden="false" customHeight="false" outlineLevel="0" collapsed="false">
      <c r="F8" s="7" t="str">
        <f aca="false">"3. In-house is the cheapest way to pack every size; the turnkey packer quotes about "&amp;TEXT(AVERAGE('Size Model'!E43:I43),"0.0")&amp;"x our own cost."</f>
        <v>3. In-house is the cheapest way to pack every size; the turnkey packer quotes about 1.2x our own cost.</v>
      </c>
    </row>
    <row r="9" customFormat="false" ht="15" hidden="false" customHeight="false" outlineLevel="0" collapsed="false">
      <c r="F9" s="7" t="s">
        <v>7</v>
      </c>
    </row>
    <row r="10" customFormat="false" ht="15" hidden="false" customHeight="false" outlineLevel="0" collapsed="false">
      <c r="B10" s="8" t="s">
        <v>8</v>
      </c>
      <c r="C10" s="8"/>
      <c r="D10" s="8"/>
      <c r="E10" s="8" t="s">
        <v>9</v>
      </c>
      <c r="F10" s="8"/>
      <c r="G10" s="8"/>
      <c r="H10" s="8" t="s">
        <v>10</v>
      </c>
      <c r="I10" s="8"/>
      <c r="J10" s="8"/>
      <c r="K10" s="8" t="s">
        <v>11</v>
      </c>
      <c r="L10" s="8"/>
      <c r="M10" s="8"/>
      <c r="N10" s="8" t="s">
        <v>12</v>
      </c>
      <c r="O10" s="8"/>
      <c r="P10" s="8"/>
    </row>
    <row r="11" customFormat="false" ht="22.05" hidden="false" customHeight="false" outlineLevel="0" collapsed="false">
      <c r="B11" s="9" t="n">
        <f aca="false">SUM('Job Costing'!C5:C23)</f>
        <v>60</v>
      </c>
      <c r="C11" s="9"/>
      <c r="D11" s="9"/>
      <c r="E11" s="10" t="n">
        <f aca="false">SUMIFS('Job Costing'!X5:X23,'Job Costing'!E5:E23,"40HC")/SUMIFS('Job Costing'!C5:C23,'Job Costing'!E5:E23,"40HC")</f>
        <v>13125.7722311828</v>
      </c>
      <c r="F11" s="10"/>
      <c r="G11" s="10"/>
      <c r="H11" s="10" t="n">
        <f aca="false">SUMIFS('Job Costing'!X5:X23,'Job Costing'!E5:E23,"Flat rack")/SUMIFS('Job Costing'!C5:C23,'Job Costing'!E5:E23,"Flat rack")</f>
        <v>26353.1874497126</v>
      </c>
      <c r="I11" s="10"/>
      <c r="J11" s="10"/>
      <c r="K11" s="11" t="n">
        <f aca="false">Inputs!$C$88/Inputs!$C$87-1</f>
        <v>0.0940102681118082</v>
      </c>
      <c r="L11" s="11"/>
      <c r="M11" s="11"/>
      <c r="N11" s="12" t="str">
        <f aca="false">HLOOKUP(D6,'Size Model'!C4:I41,38,0)</f>
        <v>In-house</v>
      </c>
      <c r="O11" s="12"/>
      <c r="P11" s="12"/>
    </row>
    <row r="12" customFormat="false" ht="15" hidden="false" customHeight="false" outlineLevel="0" collapsed="false">
      <c r="B12" s="13" t="str">
        <f aca="false">COUNTA('Job Costing'!A5:A23)&amp;" jobs"</f>
        <v>19 jobs</v>
      </c>
      <c r="C12" s="13"/>
      <c r="D12" s="13"/>
      <c r="E12" s="13" t="str">
        <f aca="false">"1.4-2.0 m"</f>
        <v>1.4-2.0 m</v>
      </c>
      <c r="F12" s="13"/>
      <c r="G12" s="13"/>
      <c r="H12" s="13" t="str">
        <f aca="false">"2.4-3.0 m"</f>
        <v>2.4-3.0 m</v>
      </c>
      <c r="I12" s="13"/>
      <c r="J12" s="13"/>
      <c r="K12" s="13" t="str">
        <f aca="false">"USD-INR "&amp;TEXT(Inputs!$C$87,"0.00")&amp;" to "&amp;TEXT(Inputs!$C$88,"0.00")</f>
        <v>USD-INR 87.65 to 95.89</v>
      </c>
      <c r="L12" s="13"/>
      <c r="M12" s="13"/>
      <c r="N12" s="13" t="str">
        <f aca="false">"at "&amp;D7&amp;" vessels per shipment"</f>
        <v>at 4 vessels per shipment</v>
      </c>
      <c r="O12" s="13"/>
      <c r="P12" s="13"/>
    </row>
    <row r="46" customFormat="false" ht="15" hidden="false" customHeight="false" outlineLevel="0" collapsed="false">
      <c r="B46" s="14" t="s">
        <v>13</v>
      </c>
    </row>
    <row r="47" customFormat="false" ht="15" hidden="false" customHeight="false" outlineLevel="0" collapsed="false">
      <c r="B47" s="15" t="s">
        <v>14</v>
      </c>
    </row>
    <row r="48" customFormat="false" ht="15" hidden="false" customHeight="false" outlineLevel="0" collapsed="false">
      <c r="B48" s="15" t="s">
        <v>15</v>
      </c>
    </row>
    <row r="49" customFormat="false" ht="15" hidden="false" customHeight="false" outlineLevel="0" collapsed="false">
      <c r="B49" s="15" t="s">
        <v>16</v>
      </c>
    </row>
    <row r="50" customFormat="false" ht="15" hidden="false" customHeight="false" outlineLevel="0" collapsed="false">
      <c r="B50" s="15" t="s">
        <v>17</v>
      </c>
    </row>
  </sheetData>
  <mergeCells count="15">
    <mergeCell ref="B10:D10"/>
    <mergeCell ref="E10:G10"/>
    <mergeCell ref="H10:J10"/>
    <mergeCell ref="K10:M10"/>
    <mergeCell ref="N10:P10"/>
    <mergeCell ref="B11:D11"/>
    <mergeCell ref="E11:G11"/>
    <mergeCell ref="H11:J11"/>
    <mergeCell ref="K11:M11"/>
    <mergeCell ref="N11:P11"/>
    <mergeCell ref="B12:D12"/>
    <mergeCell ref="E12:G12"/>
    <mergeCell ref="H12:J12"/>
    <mergeCell ref="K12:M12"/>
    <mergeCell ref="N12:P12"/>
  </mergeCells>
  <dataValidations count="2">
    <dataValidation allowBlank="false" errorStyle="stop" operator="between" showDropDown="false" showErrorMessage="false" showInputMessage="false" sqref="D6" type="list">
      <formula1>"1400,1600,1800,2000,2400,2600,3000"</formula1>
      <formula2>0</formula2>
    </dataValidation>
    <dataValidation allowBlank="false" error="Enter 1 to 10" errorStyle="stop" operator="between" showDropDown="false" showErrorMessage="true" showInputMessage="false" sqref="D7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6" t="s">
        <v>18</v>
      </c>
    </row>
    <row r="3" customFormat="false" ht="78.75" hidden="false" customHeight="true" outlineLevel="0" collapsed="false">
      <c r="A3" s="17" t="s">
        <v>19</v>
      </c>
      <c r="B3" s="18" t="s">
        <v>20</v>
      </c>
    </row>
    <row r="4" customFormat="false" ht="33.75" hidden="false" customHeight="true" outlineLevel="0" collapsed="false">
      <c r="A4" s="17" t="s">
        <v>21</v>
      </c>
      <c r="B4" s="18" t="s">
        <v>22</v>
      </c>
    </row>
    <row r="5" customFormat="false" ht="63.75" hidden="false" customHeight="true" outlineLevel="0" collapsed="false">
      <c r="A5" s="17" t="s">
        <v>23</v>
      </c>
      <c r="B5" s="18" t="s">
        <v>24</v>
      </c>
    </row>
    <row r="6" customFormat="false" ht="63.75" hidden="false" customHeight="true" outlineLevel="0" collapsed="false">
      <c r="A6" s="17" t="s">
        <v>25</v>
      </c>
      <c r="B6" s="18" t="s">
        <v>26</v>
      </c>
    </row>
    <row r="7" customFormat="false" ht="48.75" hidden="false" customHeight="true" outlineLevel="0" collapsed="false">
      <c r="A7" s="17" t="s">
        <v>27</v>
      </c>
      <c r="B7" s="18" t="s">
        <v>28</v>
      </c>
    </row>
    <row r="8" customFormat="false" ht="63.75" hidden="false" customHeight="true" outlineLevel="0" collapsed="false">
      <c r="A8" s="17" t="s">
        <v>29</v>
      </c>
      <c r="B8" s="18" t="s">
        <v>30</v>
      </c>
    </row>
    <row r="9" customFormat="false" ht="48.75" hidden="false" customHeight="true" outlineLevel="0" collapsed="false">
      <c r="A9" s="17" t="s">
        <v>31</v>
      </c>
      <c r="B9" s="18" t="s">
        <v>32</v>
      </c>
    </row>
    <row r="10" customFormat="false" ht="48.75" hidden="false" customHeight="true" outlineLevel="0" collapsed="false">
      <c r="A10" s="17" t="s">
        <v>13</v>
      </c>
      <c r="B10" s="1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6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4" t="s">
        <v>36</v>
      </c>
      <c r="B4" s="5"/>
      <c r="C4" s="5"/>
      <c r="D4" s="5"/>
      <c r="E4" s="5"/>
    </row>
    <row r="5" customFormat="false" ht="30" hidden="false" customHeight="true" outlineLevel="0" collapsed="false">
      <c r="A5" s="19" t="s">
        <v>37</v>
      </c>
      <c r="B5" s="19" t="s">
        <v>38</v>
      </c>
      <c r="C5" s="19" t="s">
        <v>39</v>
      </c>
      <c r="D5" s="19" t="s">
        <v>40</v>
      </c>
      <c r="E5" s="19" t="s">
        <v>41</v>
      </c>
    </row>
    <row r="6" customFormat="false" ht="15" hidden="false" customHeight="false" outlineLevel="0" collapsed="false">
      <c r="A6" s="20" t="s">
        <v>42</v>
      </c>
      <c r="B6" s="20" t="s">
        <v>43</v>
      </c>
      <c r="C6" s="21" t="n">
        <f aca="false">'Data - Rates'!M35</f>
        <v>780</v>
      </c>
      <c r="D6" s="22" t="n">
        <f aca="false">'Data - Rates'!A35</f>
        <v>46253</v>
      </c>
      <c r="E6" s="23" t="n">
        <v>35</v>
      </c>
    </row>
    <row r="7" customFormat="false" ht="15" hidden="false" customHeight="false" outlineLevel="0" collapsed="false">
      <c r="A7" s="20" t="s">
        <v>44</v>
      </c>
      <c r="B7" s="20" t="s">
        <v>45</v>
      </c>
      <c r="C7" s="21" t="n">
        <f aca="false">'Data - Rates'!M26</f>
        <v>99</v>
      </c>
      <c r="D7" s="22" t="n">
        <f aca="false">'Data - Rates'!A26</f>
        <v>46183</v>
      </c>
      <c r="E7" s="23" t="n">
        <v>26</v>
      </c>
    </row>
    <row r="8" customFormat="false" ht="15" hidden="false" customHeight="false" outlineLevel="0" collapsed="false">
      <c r="A8" s="20" t="s">
        <v>46</v>
      </c>
      <c r="B8" s="20" t="s">
        <v>47</v>
      </c>
      <c r="C8" s="21" t="n">
        <f aca="false">'Data - Rates'!M31</f>
        <v>2250</v>
      </c>
      <c r="D8" s="22" t="n">
        <f aca="false">'Data - Rates'!A31</f>
        <v>46211</v>
      </c>
      <c r="E8" s="23" t="n">
        <v>31</v>
      </c>
    </row>
    <row r="9" customFormat="false" ht="15" hidden="false" customHeight="false" outlineLevel="0" collapsed="false">
      <c r="A9" s="20" t="s">
        <v>48</v>
      </c>
      <c r="B9" s="20" t="s">
        <v>49</v>
      </c>
      <c r="C9" s="21" t="n">
        <f aca="false">'Data - Rates'!M29</f>
        <v>950</v>
      </c>
      <c r="D9" s="22" t="n">
        <f aca="false">'Data - Rates'!A29</f>
        <v>46211</v>
      </c>
      <c r="E9" s="23" t="n">
        <v>29</v>
      </c>
    </row>
    <row r="10" customFormat="false" ht="15" hidden="false" customHeight="false" outlineLevel="0" collapsed="false">
      <c r="A10" s="20" t="s">
        <v>50</v>
      </c>
      <c r="B10" s="20" t="s">
        <v>47</v>
      </c>
      <c r="C10" s="21" t="n">
        <f aca="false">'Data - Rates'!M32</f>
        <v>84</v>
      </c>
      <c r="D10" s="22" t="n">
        <f aca="false">'Data - Rates'!A32</f>
        <v>46211</v>
      </c>
      <c r="E10" s="23" t="n">
        <v>32</v>
      </c>
    </row>
    <row r="11" customFormat="false" ht="15" hidden="false" customHeight="false" outlineLevel="0" collapsed="false">
      <c r="A11" s="20" t="s">
        <v>51</v>
      </c>
      <c r="B11" s="20" t="s">
        <v>52</v>
      </c>
      <c r="C11" s="21" t="n">
        <f aca="false">'Data - Rates'!M30</f>
        <v>167.796610169492</v>
      </c>
      <c r="D11" s="22" t="n">
        <f aca="false">'Data - Rates'!A30</f>
        <v>46211</v>
      </c>
      <c r="E11" s="23" t="n">
        <v>30</v>
      </c>
    </row>
    <row r="12" customFormat="false" ht="15" hidden="false" customHeight="false" outlineLevel="0" collapsed="false">
      <c r="A12" s="20" t="s">
        <v>53</v>
      </c>
      <c r="B12" s="20" t="s">
        <v>47</v>
      </c>
      <c r="C12" s="21" t="n">
        <f aca="false">'Data - Rates'!M34</f>
        <v>710</v>
      </c>
      <c r="D12" s="22" t="n">
        <f aca="false">'Data - Rates'!A34</f>
        <v>46238</v>
      </c>
      <c r="E12" s="23" t="n">
        <v>34</v>
      </c>
    </row>
    <row r="13" customFormat="false" ht="15" hidden="false" customHeight="false" outlineLevel="0" collapsed="false">
      <c r="A13" s="20" t="s">
        <v>54</v>
      </c>
      <c r="B13" s="20" t="s">
        <v>49</v>
      </c>
      <c r="C13" s="21" t="n">
        <f aca="false">'Data - Rates'!M14</f>
        <v>160</v>
      </c>
      <c r="D13" s="22" t="n">
        <f aca="false">'Data - Rates'!A14</f>
        <v>45915</v>
      </c>
      <c r="E13" s="23" t="n">
        <v>14</v>
      </c>
    </row>
    <row r="14" customFormat="false" ht="15" hidden="false" customHeight="false" outlineLevel="0" collapsed="false">
      <c r="A14" s="20" t="s">
        <v>55</v>
      </c>
      <c r="B14" s="20" t="s">
        <v>56</v>
      </c>
      <c r="C14" s="21" t="n">
        <f aca="false">'Data - Rates'!M15</f>
        <v>5</v>
      </c>
      <c r="D14" s="22" t="n">
        <f aca="false">'Data - Rates'!A15</f>
        <v>45915</v>
      </c>
      <c r="E14" s="23" t="n">
        <v>15</v>
      </c>
    </row>
    <row r="15" customFormat="false" ht="15" hidden="false" customHeight="false" outlineLevel="0" collapsed="false">
      <c r="A15" s="20" t="s">
        <v>57</v>
      </c>
      <c r="B15" s="20" t="s">
        <v>58</v>
      </c>
      <c r="C15" s="21" t="n">
        <f aca="false">'Data - Rates'!M33</f>
        <v>3500</v>
      </c>
      <c r="D15" s="22" t="n">
        <f aca="false">'Data - Rates'!A33</f>
        <v>46213</v>
      </c>
      <c r="E15" s="23" t="n">
        <v>33</v>
      </c>
    </row>
    <row r="16" customFormat="false" ht="15" hidden="false" customHeight="false" outlineLevel="0" collapsed="false">
      <c r="A16" s="20" t="s">
        <v>59</v>
      </c>
      <c r="B16" s="20" t="s">
        <v>60</v>
      </c>
      <c r="C16" s="21" t="n">
        <f aca="false">'Data - Rates'!M24</f>
        <v>800</v>
      </c>
      <c r="D16" s="22" t="n">
        <f aca="false">'Data - Rates'!A24</f>
        <v>46113</v>
      </c>
      <c r="E16" s="23" t="n">
        <v>24</v>
      </c>
    </row>
    <row r="17" customFormat="false" ht="15" hidden="false" customHeight="false" outlineLevel="0" collapsed="false">
      <c r="A17" s="20" t="s">
        <v>61</v>
      </c>
      <c r="B17" s="20" t="s">
        <v>60</v>
      </c>
      <c r="C17" s="21" t="n">
        <f aca="false">'Data - Rates'!M28</f>
        <v>480</v>
      </c>
      <c r="D17" s="22" t="n">
        <f aca="false">'Data - Rates'!A28</f>
        <v>46204</v>
      </c>
      <c r="E17" s="23" t="n">
        <v>28</v>
      </c>
    </row>
    <row r="19" customFormat="false" ht="15" hidden="false" customHeight="false" outlineLevel="0" collapsed="false">
      <c r="A19" s="4" t="s">
        <v>62</v>
      </c>
      <c r="B19" s="5"/>
      <c r="C19" s="5"/>
      <c r="D19" s="5"/>
      <c r="E19" s="5"/>
    </row>
    <row r="20" customFormat="false" ht="15" hidden="false" customHeight="false" outlineLevel="0" collapsed="false">
      <c r="A20" s="20" t="s">
        <v>63</v>
      </c>
      <c r="C20" s="24" t="n">
        <v>0.1</v>
      </c>
      <c r="D20" s="3" t="s">
        <v>64</v>
      </c>
    </row>
    <row r="21" customFormat="false" ht="15" hidden="false" customHeight="false" outlineLevel="0" collapsed="false">
      <c r="A21" s="20" t="s">
        <v>65</v>
      </c>
      <c r="C21" s="25" t="n">
        <v>8</v>
      </c>
      <c r="D21" s="3" t="s">
        <v>66</v>
      </c>
    </row>
    <row r="22" customFormat="false" ht="15" hidden="false" customHeight="false" outlineLevel="0" collapsed="false">
      <c r="A22" s="20" t="s">
        <v>67</v>
      </c>
      <c r="C22" s="26" t="n">
        <v>1025</v>
      </c>
      <c r="D22" s="3" t="s">
        <v>68</v>
      </c>
    </row>
    <row r="23" customFormat="false" ht="15" hidden="false" customHeight="false" outlineLevel="0" collapsed="false">
      <c r="A23" s="20" t="s">
        <v>69</v>
      </c>
      <c r="C23" s="25" t="n">
        <v>24</v>
      </c>
      <c r="D23" s="3" t="s">
        <v>70</v>
      </c>
    </row>
    <row r="24" customFormat="false" ht="15" hidden="false" customHeight="false" outlineLevel="0" collapsed="false">
      <c r="A24" s="20" t="s">
        <v>71</v>
      </c>
      <c r="C24" s="25" t="n">
        <v>40</v>
      </c>
      <c r="D24" s="3" t="s">
        <v>72</v>
      </c>
    </row>
    <row r="25" customFormat="false" ht="15" hidden="false" customHeight="false" outlineLevel="0" collapsed="false">
      <c r="A25" s="20" t="s">
        <v>73</v>
      </c>
      <c r="C25" s="25" t="n">
        <v>3</v>
      </c>
      <c r="D25" s="3" t="s">
        <v>74</v>
      </c>
    </row>
    <row r="26" customFormat="false" ht="15" hidden="false" customHeight="false" outlineLevel="0" collapsed="false">
      <c r="A26" s="20" t="s">
        <v>75</v>
      </c>
      <c r="C26" s="26" t="n">
        <v>0</v>
      </c>
      <c r="D26" s="3" t="s">
        <v>76</v>
      </c>
    </row>
    <row r="28" customFormat="false" ht="15" hidden="false" customHeight="false" outlineLevel="0" collapsed="false">
      <c r="A28" s="4" t="s">
        <v>77</v>
      </c>
      <c r="B28" s="5"/>
      <c r="C28" s="5"/>
      <c r="D28" s="5"/>
      <c r="E28" s="5"/>
    </row>
    <row r="29" customFormat="false" ht="30" hidden="false" customHeight="true" outlineLevel="0" collapsed="false">
      <c r="A29" s="19" t="s">
        <v>78</v>
      </c>
      <c r="B29" s="19" t="s">
        <v>79</v>
      </c>
      <c r="C29" s="19" t="s">
        <v>80</v>
      </c>
    </row>
    <row r="30" customFormat="false" ht="15" hidden="false" customHeight="false" outlineLevel="0" collapsed="false">
      <c r="A30" s="27" t="n">
        <v>45870</v>
      </c>
      <c r="B30" s="26" t="n">
        <v>760</v>
      </c>
      <c r="C30" s="26" t="n">
        <v>460</v>
      </c>
    </row>
    <row r="31" customFormat="false" ht="15" hidden="false" customHeight="false" outlineLevel="0" collapsed="false">
      <c r="A31" s="27" t="n">
        <v>46113</v>
      </c>
      <c r="B31" s="26" t="n">
        <v>800</v>
      </c>
      <c r="C31" s="26" t="n">
        <v>460</v>
      </c>
    </row>
    <row r="32" customFormat="false" ht="15" hidden="false" customHeight="false" outlineLevel="0" collapsed="false">
      <c r="A32" s="27" t="n">
        <v>46204</v>
      </c>
      <c r="B32" s="26" t="n">
        <v>800</v>
      </c>
      <c r="C32" s="26" t="n">
        <v>480</v>
      </c>
    </row>
    <row r="34" customFormat="false" ht="15" hidden="false" customHeight="false" outlineLevel="0" collapsed="false">
      <c r="A34" s="4" t="s">
        <v>81</v>
      </c>
      <c r="B34" s="5"/>
      <c r="C34" s="5"/>
      <c r="D34" s="5"/>
      <c r="E34" s="5"/>
    </row>
    <row r="35" customFormat="false" ht="30" hidden="false" customHeight="true" outlineLevel="0" collapsed="false">
      <c r="A35" s="19" t="s">
        <v>78</v>
      </c>
      <c r="B35" s="19" t="s">
        <v>82</v>
      </c>
    </row>
    <row r="36" customFormat="false" ht="15" hidden="false" customHeight="false" outlineLevel="0" collapsed="false">
      <c r="A36" s="27" t="n">
        <v>45910</v>
      </c>
      <c r="B36" s="26" t="n">
        <v>3000</v>
      </c>
    </row>
    <row r="37" customFormat="false" ht="15" hidden="false" customHeight="false" outlineLevel="0" collapsed="false">
      <c r="A37" s="27" t="n">
        <v>46050</v>
      </c>
      <c r="B37" s="26" t="n">
        <v>3200</v>
      </c>
    </row>
    <row r="38" customFormat="false" ht="15" hidden="false" customHeight="false" outlineLevel="0" collapsed="false">
      <c r="A38" s="27" t="n">
        <v>46213</v>
      </c>
      <c r="B38" s="26" t="n">
        <v>3500</v>
      </c>
    </row>
    <row r="39" customFormat="false" ht="15" hidden="false" customHeight="false" outlineLevel="0" collapsed="false">
      <c r="A39" s="4" t="s">
        <v>83</v>
      </c>
      <c r="B39" s="5"/>
      <c r="C39" s="5"/>
      <c r="D39" s="5"/>
      <c r="E39" s="5"/>
    </row>
    <row r="40" customFormat="false" ht="30" hidden="false" customHeight="true" outlineLevel="0" collapsed="false">
      <c r="A40" s="19" t="s">
        <v>84</v>
      </c>
      <c r="B40" s="19" t="s">
        <v>85</v>
      </c>
      <c r="C40" s="19" t="s">
        <v>86</v>
      </c>
      <c r="D40" s="19" t="s">
        <v>87</v>
      </c>
    </row>
    <row r="41" customFormat="false" ht="15" hidden="false" customHeight="false" outlineLevel="0" collapsed="false">
      <c r="A41" s="23" t="n">
        <v>1400</v>
      </c>
      <c r="B41" s="26" t="n">
        <v>800</v>
      </c>
      <c r="C41" s="26" t="n">
        <v>6400</v>
      </c>
      <c r="D41" s="28" t="s">
        <v>88</v>
      </c>
    </row>
    <row r="42" customFormat="false" ht="15" hidden="false" customHeight="false" outlineLevel="0" collapsed="false">
      <c r="A42" s="23" t="n">
        <v>1600</v>
      </c>
      <c r="B42" s="26" t="n">
        <v>900</v>
      </c>
      <c r="C42" s="26" t="n">
        <v>6850</v>
      </c>
      <c r="D42" s="23" t="s">
        <v>89</v>
      </c>
    </row>
    <row r="43" customFormat="false" ht="15" hidden="false" customHeight="false" outlineLevel="0" collapsed="false">
      <c r="A43" s="23" t="n">
        <v>1800</v>
      </c>
      <c r="B43" s="26" t="n">
        <v>1100</v>
      </c>
      <c r="C43" s="26" t="n">
        <v>7350</v>
      </c>
      <c r="D43" s="26" t="n">
        <v>15000</v>
      </c>
    </row>
    <row r="44" customFormat="false" ht="15" hidden="false" customHeight="false" outlineLevel="0" collapsed="false">
      <c r="A44" s="23" t="n">
        <v>2000</v>
      </c>
      <c r="B44" s="26" t="n">
        <v>1000</v>
      </c>
      <c r="C44" s="26" t="n">
        <v>7200</v>
      </c>
      <c r="D44" s="26" t="n">
        <v>14000</v>
      </c>
    </row>
    <row r="45" customFormat="false" ht="15" hidden="false" customHeight="false" outlineLevel="0" collapsed="false">
      <c r="A45" s="23" t="n">
        <v>2400</v>
      </c>
      <c r="B45" s="26" t="n">
        <v>2200</v>
      </c>
      <c r="C45" s="26" t="n">
        <v>15050</v>
      </c>
      <c r="D45" s="26" t="n">
        <v>31000</v>
      </c>
    </row>
    <row r="46" customFormat="false" ht="15" hidden="false" customHeight="false" outlineLevel="0" collapsed="false">
      <c r="A46" s="23" t="n">
        <v>2600</v>
      </c>
      <c r="B46" s="26" t="n">
        <v>2300</v>
      </c>
      <c r="C46" s="26" t="n">
        <v>15900</v>
      </c>
      <c r="D46" s="26" t="n">
        <v>33000</v>
      </c>
    </row>
    <row r="47" customFormat="false" ht="15" hidden="false" customHeight="false" outlineLevel="0" collapsed="false">
      <c r="A47" s="23" t="n">
        <v>3000</v>
      </c>
      <c r="B47" s="26" t="n">
        <v>2700</v>
      </c>
      <c r="C47" s="26" t="n">
        <v>17350</v>
      </c>
      <c r="D47" s="26" t="n">
        <v>37500</v>
      </c>
    </row>
    <row r="48" customFormat="false" ht="15" hidden="false" customHeight="false" outlineLevel="0" collapsed="false">
      <c r="A48" s="20" t="s">
        <v>90</v>
      </c>
      <c r="C48" s="26" t="n">
        <v>2500</v>
      </c>
    </row>
    <row r="49" customFormat="false" ht="15" hidden="false" customHeight="false" outlineLevel="0" collapsed="false">
      <c r="A49" s="20" t="s">
        <v>91</v>
      </c>
      <c r="C49" s="26" t="n">
        <v>1800</v>
      </c>
    </row>
    <row r="50" customFormat="false" ht="15" hidden="false" customHeight="false" outlineLevel="0" collapsed="false">
      <c r="A50" s="20" t="s">
        <v>92</v>
      </c>
      <c r="C50" s="26" t="n">
        <v>7500</v>
      </c>
    </row>
    <row r="52" customFormat="false" ht="15" hidden="false" customHeight="false" outlineLevel="0" collapsed="false">
      <c r="A52" s="4" t="s">
        <v>93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30" hidden="false" customHeight="true" outlineLevel="0" collapsed="false">
      <c r="A53" s="19" t="s">
        <v>84</v>
      </c>
      <c r="B53" s="19" t="s">
        <v>94</v>
      </c>
      <c r="C53" s="19" t="s">
        <v>95</v>
      </c>
      <c r="D53" s="19" t="s">
        <v>96</v>
      </c>
      <c r="E53" s="19" t="s">
        <v>97</v>
      </c>
      <c r="F53" s="19" t="s">
        <v>98</v>
      </c>
      <c r="G53" s="19" t="s">
        <v>99</v>
      </c>
      <c r="H53" s="19" t="s">
        <v>100</v>
      </c>
      <c r="I53" s="19" t="s">
        <v>101</v>
      </c>
      <c r="J53" s="19" t="s">
        <v>102</v>
      </c>
      <c r="K53" s="19" t="s">
        <v>103</v>
      </c>
      <c r="L53" s="19" t="s">
        <v>104</v>
      </c>
    </row>
    <row r="54" customFormat="false" ht="15" hidden="false" customHeight="false" outlineLevel="0" collapsed="false">
      <c r="A54" s="23" t="n">
        <v>1400</v>
      </c>
      <c r="B54" s="23" t="s">
        <v>105</v>
      </c>
      <c r="C54" s="23" t="s">
        <v>106</v>
      </c>
      <c r="D54" s="29" t="n">
        <v>14</v>
      </c>
      <c r="E54" s="30" t="n">
        <f aca="false">A54+2*D54</f>
        <v>1428</v>
      </c>
      <c r="F54" s="31" t="n">
        <v>2560</v>
      </c>
      <c r="G54" s="31" t="n">
        <v>3210</v>
      </c>
      <c r="H54" s="30" t="n">
        <f aca="false">E54+60</f>
        <v>1488</v>
      </c>
      <c r="I54" s="30" t="n">
        <f aca="false">E54+280</f>
        <v>1708</v>
      </c>
      <c r="J54" s="20" t="str">
        <f aca="false">IF(AND(H54&lt;=2340,I54&lt;=2585),"Yes","No")</f>
        <v>Yes</v>
      </c>
      <c r="K54" s="20" t="str">
        <f aca="false">IF(J54="Yes","40HC","Flat rack")</f>
        <v>40HC</v>
      </c>
      <c r="L54" s="20" t="n">
        <f aca="false">IF(K54="40HC",ROUNDDOWN(12032/(G54+100),0),"-")</f>
        <v>3</v>
      </c>
    </row>
    <row r="55" customFormat="false" ht="15" hidden="false" customHeight="false" outlineLevel="0" collapsed="false">
      <c r="A55" s="23" t="n">
        <v>1600</v>
      </c>
      <c r="B55" s="23" t="s">
        <v>105</v>
      </c>
      <c r="C55" s="23" t="s">
        <v>107</v>
      </c>
      <c r="D55" s="29" t="n">
        <v>15.5</v>
      </c>
      <c r="E55" s="30" t="n">
        <f aca="false">A55+2*D55</f>
        <v>1631</v>
      </c>
      <c r="F55" s="31" t="n">
        <v>2640</v>
      </c>
      <c r="G55" s="31" t="n">
        <v>3290</v>
      </c>
      <c r="H55" s="30" t="n">
        <f aca="false">E55+60</f>
        <v>1691</v>
      </c>
      <c r="I55" s="30" t="n">
        <f aca="false">E55+280</f>
        <v>1911</v>
      </c>
      <c r="J55" s="20" t="str">
        <f aca="false">IF(AND(H55&lt;=2340,I55&lt;=2585),"Yes","No")</f>
        <v>Yes</v>
      </c>
      <c r="K55" s="20" t="str">
        <f aca="false">IF(J55="Yes","40HC","Flat rack")</f>
        <v>40HC</v>
      </c>
      <c r="L55" s="20" t="n">
        <f aca="false">IF(K55="40HC",ROUNDDOWN(12032/(G55+100),0),"-")</f>
        <v>3</v>
      </c>
    </row>
    <row r="56" customFormat="false" ht="15" hidden="false" customHeight="false" outlineLevel="0" collapsed="false">
      <c r="A56" s="23" t="n">
        <v>1800</v>
      </c>
      <c r="B56" s="23" t="s">
        <v>105</v>
      </c>
      <c r="C56" s="23" t="s">
        <v>108</v>
      </c>
      <c r="D56" s="29" t="n">
        <v>17</v>
      </c>
      <c r="E56" s="30" t="n">
        <f aca="false">A56+2*D56</f>
        <v>1834</v>
      </c>
      <c r="F56" s="31" t="n">
        <v>2920</v>
      </c>
      <c r="G56" s="31" t="n">
        <v>3570</v>
      </c>
      <c r="H56" s="30" t="n">
        <f aca="false">E56+60</f>
        <v>1894</v>
      </c>
      <c r="I56" s="30" t="n">
        <f aca="false">E56+280</f>
        <v>2114</v>
      </c>
      <c r="J56" s="20" t="str">
        <f aca="false">IF(AND(H56&lt;=2340,I56&lt;=2585),"Yes","No")</f>
        <v>Yes</v>
      </c>
      <c r="K56" s="20" t="str">
        <f aca="false">IF(J56="Yes","40HC","Flat rack")</f>
        <v>40HC</v>
      </c>
      <c r="L56" s="20" t="n">
        <f aca="false">IF(K56="40HC",ROUNDDOWN(12032/(G56+100),0),"-")</f>
        <v>3</v>
      </c>
    </row>
    <row r="57" customFormat="false" ht="15" hidden="false" customHeight="false" outlineLevel="0" collapsed="false">
      <c r="A57" s="23" t="n">
        <v>2000</v>
      </c>
      <c r="B57" s="23" t="s">
        <v>105</v>
      </c>
      <c r="C57" s="23" t="s">
        <v>109</v>
      </c>
      <c r="D57" s="29" t="n">
        <v>18.5</v>
      </c>
      <c r="E57" s="30" t="n">
        <f aca="false">A57+2*D57</f>
        <v>2037</v>
      </c>
      <c r="F57" s="31" t="n">
        <v>2400</v>
      </c>
      <c r="G57" s="31" t="n">
        <v>3050</v>
      </c>
      <c r="H57" s="30" t="n">
        <f aca="false">E57+60</f>
        <v>2097</v>
      </c>
      <c r="I57" s="30" t="n">
        <f aca="false">E57+280</f>
        <v>2317</v>
      </c>
      <c r="J57" s="20" t="str">
        <f aca="false">IF(AND(H57&lt;=2340,I57&lt;=2585),"Yes","No")</f>
        <v>Yes</v>
      </c>
      <c r="K57" s="20" t="str">
        <f aca="false">IF(J57="Yes","40HC","Flat rack")</f>
        <v>40HC</v>
      </c>
      <c r="L57" s="20" t="n">
        <f aca="false">IF(K57="40HC",ROUNDDOWN(12032/(G57+100),0),"-")</f>
        <v>3</v>
      </c>
    </row>
    <row r="58" customFormat="false" ht="15" hidden="false" customHeight="false" outlineLevel="0" collapsed="false">
      <c r="A58" s="23" t="n">
        <v>2400</v>
      </c>
      <c r="B58" s="23" t="s">
        <v>105</v>
      </c>
      <c r="C58" s="23" t="s">
        <v>110</v>
      </c>
      <c r="D58" s="29" t="n">
        <v>21</v>
      </c>
      <c r="E58" s="30" t="n">
        <f aca="false">A58+2*D58</f>
        <v>2442</v>
      </c>
      <c r="F58" s="31" t="n">
        <v>3760</v>
      </c>
      <c r="G58" s="31" t="n">
        <v>4410</v>
      </c>
      <c r="H58" s="30" t="n">
        <f aca="false">E58+60</f>
        <v>2502</v>
      </c>
      <c r="I58" s="30" t="n">
        <f aca="false">E58+280</f>
        <v>2722</v>
      </c>
      <c r="J58" s="20" t="str">
        <f aca="false">IF(AND(H58&lt;=2340,I58&lt;=2585),"Yes","No")</f>
        <v>No</v>
      </c>
      <c r="K58" s="20" t="str">
        <f aca="false">IF(J58="Yes","40HC","Flat rack")</f>
        <v>Flat rack</v>
      </c>
      <c r="L58" s="20" t="str">
        <f aca="false">IF(K58="40HC",ROUNDDOWN(12032/(G58+100),0),"-")</f>
        <v>-</v>
      </c>
    </row>
    <row r="59" customFormat="false" ht="15" hidden="false" customHeight="false" outlineLevel="0" collapsed="false">
      <c r="A59" s="23" t="n">
        <v>2600</v>
      </c>
      <c r="B59" s="23" t="s">
        <v>105</v>
      </c>
      <c r="C59" s="23" t="s">
        <v>111</v>
      </c>
      <c r="D59" s="29" t="n">
        <v>22.5</v>
      </c>
      <c r="E59" s="30" t="n">
        <f aca="false">A59+2*D59</f>
        <v>2645</v>
      </c>
      <c r="F59" s="31" t="n">
        <v>4040</v>
      </c>
      <c r="G59" s="31" t="n">
        <v>4690</v>
      </c>
      <c r="H59" s="30" t="n">
        <f aca="false">E59+60</f>
        <v>2705</v>
      </c>
      <c r="I59" s="30" t="n">
        <f aca="false">E59+280</f>
        <v>2925</v>
      </c>
      <c r="J59" s="20" t="str">
        <f aca="false">IF(AND(H59&lt;=2340,I59&lt;=2585),"Yes","No")</f>
        <v>No</v>
      </c>
      <c r="K59" s="20" t="str">
        <f aca="false">IF(J59="Yes","40HC","Flat rack")</f>
        <v>Flat rack</v>
      </c>
      <c r="L59" s="20" t="str">
        <f aca="false">IF(K59="40HC",ROUNDDOWN(12032/(G59+100),0),"-")</f>
        <v>-</v>
      </c>
    </row>
    <row r="60" customFormat="false" ht="15" hidden="false" customHeight="false" outlineLevel="0" collapsed="false">
      <c r="A60" s="23" t="n">
        <v>3000</v>
      </c>
      <c r="B60" s="23" t="s">
        <v>105</v>
      </c>
      <c r="C60" s="23" t="s">
        <v>112</v>
      </c>
      <c r="D60" s="29" t="n">
        <v>25.5</v>
      </c>
      <c r="E60" s="30" t="n">
        <f aca="false">A60+2*D60</f>
        <v>3051</v>
      </c>
      <c r="F60" s="31" t="n">
        <v>4500</v>
      </c>
      <c r="G60" s="31" t="n">
        <v>5150</v>
      </c>
      <c r="H60" s="30" t="n">
        <f aca="false">E60+60</f>
        <v>3111</v>
      </c>
      <c r="I60" s="30" t="n">
        <f aca="false">E60+280</f>
        <v>3331</v>
      </c>
      <c r="J60" s="20" t="str">
        <f aca="false">IF(AND(H60&lt;=2340,I60&lt;=2585),"Yes","No")</f>
        <v>No</v>
      </c>
      <c r="K60" s="20" t="str">
        <f aca="false">IF(J60="Yes","40HC","Flat rack")</f>
        <v>Flat rack</v>
      </c>
      <c r="L60" s="20" t="str">
        <f aca="false">IF(K60="40HC",ROUNDDOWN(12032/(G60+100),0),"-")</f>
        <v>-</v>
      </c>
    </row>
    <row r="61" customFormat="false" ht="15" hidden="false" customHeight="false" outlineLevel="0" collapsed="false">
      <c r="A61" s="3" t="s">
        <v>113</v>
      </c>
    </row>
    <row r="62" customFormat="false" ht="15" hidden="false" customHeight="false" outlineLevel="0" collapsed="false">
      <c r="A62" s="3" t="s">
        <v>114</v>
      </c>
    </row>
    <row r="64" customFormat="false" ht="15" hidden="false" customHeight="false" outlineLevel="0" collapsed="false">
      <c r="A64" s="4" t="s">
        <v>115</v>
      </c>
      <c r="B64" s="5"/>
      <c r="C64" s="5"/>
      <c r="D64" s="5"/>
      <c r="E64" s="5"/>
    </row>
    <row r="65" customFormat="false" ht="30" hidden="false" customHeight="true" outlineLevel="0" collapsed="false">
      <c r="A65" s="19" t="s">
        <v>116</v>
      </c>
      <c r="B65" s="19" t="s">
        <v>117</v>
      </c>
      <c r="C65" s="19" t="s">
        <v>118</v>
      </c>
    </row>
    <row r="66" customFormat="false" ht="15" hidden="false" customHeight="false" outlineLevel="0" collapsed="false">
      <c r="A66" s="27" t="n">
        <v>45882</v>
      </c>
      <c r="B66" s="32" t="n">
        <v>87.65</v>
      </c>
      <c r="C66" s="33" t="s">
        <v>119</v>
      </c>
    </row>
    <row r="67" customFormat="false" ht="15" hidden="false" customHeight="false" outlineLevel="0" collapsed="false">
      <c r="A67" s="27" t="n">
        <v>45912</v>
      </c>
      <c r="B67" s="32" t="n">
        <v>88.26</v>
      </c>
      <c r="C67" s="33" t="s">
        <v>120</v>
      </c>
    </row>
    <row r="68" customFormat="false" ht="15" hidden="false" customHeight="false" outlineLevel="0" collapsed="false">
      <c r="A68" s="27" t="n">
        <v>45946</v>
      </c>
      <c r="B68" s="32" t="n">
        <v>87.82</v>
      </c>
      <c r="C68" s="33" t="s">
        <v>121</v>
      </c>
    </row>
    <row r="69" customFormat="false" ht="15" hidden="false" customHeight="false" outlineLevel="0" collapsed="false">
      <c r="A69" s="27" t="n">
        <v>45960</v>
      </c>
      <c r="B69" s="32" t="n">
        <v>88.7</v>
      </c>
      <c r="C69" s="33" t="s">
        <v>122</v>
      </c>
    </row>
    <row r="70" customFormat="false" ht="15" hidden="false" customHeight="false" outlineLevel="0" collapsed="false">
      <c r="A70" s="27" t="n">
        <v>45975</v>
      </c>
      <c r="B70" s="32" t="n">
        <v>88.66</v>
      </c>
      <c r="C70" s="33" t="s">
        <v>120</v>
      </c>
    </row>
    <row r="71" customFormat="false" ht="15" hidden="false" customHeight="false" outlineLevel="0" collapsed="false">
      <c r="A71" s="27" t="n">
        <v>45992</v>
      </c>
      <c r="B71" s="32" t="n">
        <v>89.53</v>
      </c>
      <c r="C71" s="33" t="s">
        <v>123</v>
      </c>
    </row>
    <row r="72" customFormat="false" ht="15" hidden="false" customHeight="false" outlineLevel="0" collapsed="false">
      <c r="A72" s="27" t="n">
        <v>46022</v>
      </c>
      <c r="B72" s="32" t="n">
        <v>89.88</v>
      </c>
      <c r="C72" s="33" t="s">
        <v>120</v>
      </c>
    </row>
    <row r="73" customFormat="false" ht="15" hidden="false" customHeight="false" outlineLevel="0" collapsed="false">
      <c r="A73" s="27" t="n">
        <v>46077</v>
      </c>
      <c r="B73" s="32" t="n">
        <v>90.96</v>
      </c>
      <c r="C73" s="33" t="s">
        <v>124</v>
      </c>
    </row>
    <row r="74" customFormat="false" ht="15" hidden="false" customHeight="false" outlineLevel="0" collapsed="false">
      <c r="A74" s="27" t="n">
        <v>46099</v>
      </c>
      <c r="B74" s="32" t="n">
        <v>92.63</v>
      </c>
      <c r="C74" s="33" t="s">
        <v>124</v>
      </c>
    </row>
    <row r="75" customFormat="false" ht="15" hidden="false" customHeight="false" outlineLevel="0" collapsed="false">
      <c r="A75" s="27" t="n">
        <v>46125</v>
      </c>
      <c r="B75" s="32" t="n">
        <v>93.54</v>
      </c>
      <c r="C75" s="33" t="s">
        <v>125</v>
      </c>
    </row>
    <row r="76" customFormat="false" ht="15" hidden="false" customHeight="false" outlineLevel="0" collapsed="false">
      <c r="A76" s="27" t="n">
        <v>46132</v>
      </c>
      <c r="B76" s="32" t="n">
        <v>93.16</v>
      </c>
      <c r="C76" s="33" t="s">
        <v>126</v>
      </c>
    </row>
    <row r="77" customFormat="false" ht="15" hidden="false" customHeight="false" outlineLevel="0" collapsed="false">
      <c r="A77" s="27" t="n">
        <v>46142</v>
      </c>
      <c r="B77" s="32" t="n">
        <v>95.11</v>
      </c>
      <c r="C77" s="33" t="s">
        <v>125</v>
      </c>
    </row>
    <row r="78" customFormat="false" ht="15" hidden="false" customHeight="false" outlineLevel="0" collapsed="false">
      <c r="A78" s="27" t="n">
        <v>46164</v>
      </c>
      <c r="B78" s="32" t="n">
        <v>96.18</v>
      </c>
      <c r="C78" s="33" t="s">
        <v>124</v>
      </c>
    </row>
    <row r="79" customFormat="false" ht="15" hidden="false" customHeight="false" outlineLevel="0" collapsed="false">
      <c r="A79" s="27" t="n">
        <v>46198</v>
      </c>
      <c r="B79" s="32" t="n">
        <v>94.39</v>
      </c>
      <c r="C79" s="33" t="s">
        <v>127</v>
      </c>
    </row>
    <row r="80" customFormat="false" ht="15" hidden="false" customHeight="false" outlineLevel="0" collapsed="false">
      <c r="A80" s="27" t="n">
        <v>46209</v>
      </c>
      <c r="B80" s="32" t="n">
        <v>95.38</v>
      </c>
      <c r="C80" s="33" t="s">
        <v>127</v>
      </c>
    </row>
    <row r="81" customFormat="false" ht="15" hidden="false" customHeight="false" outlineLevel="0" collapsed="false">
      <c r="A81" s="27" t="n">
        <v>46231</v>
      </c>
      <c r="B81" s="32" t="n">
        <v>95.88</v>
      </c>
      <c r="C81" s="33" t="s">
        <v>127</v>
      </c>
    </row>
    <row r="82" customFormat="false" ht="15" hidden="false" customHeight="false" outlineLevel="0" collapsed="false">
      <c r="A82" s="27" t="n">
        <v>46241</v>
      </c>
      <c r="B82" s="32" t="n">
        <v>95.2</v>
      </c>
      <c r="C82" s="33" t="s">
        <v>127</v>
      </c>
    </row>
    <row r="83" customFormat="false" ht="15" hidden="false" customHeight="false" outlineLevel="0" collapsed="false">
      <c r="A83" s="27" t="n">
        <v>46269</v>
      </c>
      <c r="B83" s="32" t="n">
        <v>94.43</v>
      </c>
      <c r="C83" s="33" t="s">
        <v>128</v>
      </c>
    </row>
    <row r="84" customFormat="false" ht="15" hidden="false" customHeight="false" outlineLevel="0" collapsed="false">
      <c r="A84" s="27" t="n">
        <v>46276</v>
      </c>
      <c r="B84" s="32" t="n">
        <v>95.57</v>
      </c>
      <c r="C84" s="33" t="s">
        <v>129</v>
      </c>
    </row>
    <row r="85" customFormat="false" ht="15" hidden="false" customHeight="false" outlineLevel="0" collapsed="false">
      <c r="A85" s="27" t="n">
        <v>46284</v>
      </c>
      <c r="B85" s="32" t="n">
        <v>95.89</v>
      </c>
      <c r="C85" s="33" t="s">
        <v>128</v>
      </c>
    </row>
    <row r="87" customFormat="false" ht="15" hidden="false" customHeight="false" outlineLevel="0" collapsed="false">
      <c r="A87" s="20" t="s">
        <v>130</v>
      </c>
      <c r="C87" s="34" t="n">
        <f aca="false">B66</f>
        <v>87.65</v>
      </c>
    </row>
    <row r="88" customFormat="false" ht="15" hidden="false" customHeight="false" outlineLevel="0" collapsed="false">
      <c r="A88" s="20" t="s">
        <v>131</v>
      </c>
      <c r="C88" s="34" t="n">
        <f aca="false">B85</f>
        <v>95.89</v>
      </c>
    </row>
    <row r="90" customFormat="false" ht="30" hidden="false" customHeight="true" outlineLevel="0" collapsed="false">
      <c r="A90" s="19" t="s">
        <v>84</v>
      </c>
      <c r="B90" s="19" t="s">
        <v>132</v>
      </c>
    </row>
    <row r="91" customFormat="false" ht="15" hidden="false" customHeight="false" outlineLevel="0" collapsed="false">
      <c r="A91" s="23" t="n">
        <v>2400</v>
      </c>
      <c r="B91" s="25" t="n">
        <v>100</v>
      </c>
    </row>
    <row r="92" customFormat="false" ht="15" hidden="false" customHeight="false" outlineLevel="0" collapsed="false">
      <c r="A92" s="23" t="n">
        <v>2600</v>
      </c>
      <c r="B92" s="25" t="n">
        <v>106</v>
      </c>
    </row>
    <row r="93" customFormat="false" ht="15" hidden="false" customHeight="false" outlineLevel="0" collapsed="false">
      <c r="A93" s="20" t="s">
        <v>133</v>
      </c>
      <c r="C93" s="35" t="n">
        <v>600</v>
      </c>
      <c r="D93" s="3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6" min="13" style="0" width="8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7"/>
    <col collapsed="false" customWidth="true" hidden="false" outlineLevel="0" max="21" min="21" style="0" width="9"/>
    <col collapsed="false" customWidth="true" hidden="false" outlineLevel="0" max="25" min="22" style="0" width="10"/>
    <col collapsed="false" customWidth="true" hidden="false" outlineLevel="0" max="26" min="26" style="0" width="8"/>
    <col collapsed="false" customWidth="true" hidden="false" outlineLevel="0" max="28" min="27" style="0" width="9"/>
    <col collapsed="false" customWidth="true" hidden="false" outlineLevel="0" max="29" min="29" style="0" width="34"/>
  </cols>
  <sheetData>
    <row r="1" customFormat="false" ht="17.35" hidden="false" customHeight="false" outlineLevel="0" collapsed="false">
      <c r="A1" s="16" t="s">
        <v>135</v>
      </c>
    </row>
    <row r="2" customFormat="false" ht="15" hidden="false" customHeight="false" outlineLevel="0" collapsed="false">
      <c r="A2" s="2" t="s">
        <v>136</v>
      </c>
    </row>
    <row r="4" customFormat="false" ht="30" hidden="false" customHeight="true" outlineLevel="0" collapsed="false">
      <c r="A4" s="19" t="s">
        <v>137</v>
      </c>
      <c r="B4" s="19" t="s">
        <v>84</v>
      </c>
      <c r="C4" s="19" t="s">
        <v>138</v>
      </c>
      <c r="D4" s="19" t="s">
        <v>139</v>
      </c>
      <c r="E4" s="19" t="s">
        <v>103</v>
      </c>
      <c r="F4" s="19" t="s">
        <v>140</v>
      </c>
      <c r="G4" s="19" t="s">
        <v>141</v>
      </c>
      <c r="H4" s="19" t="s">
        <v>142</v>
      </c>
      <c r="I4" s="19" t="s">
        <v>143</v>
      </c>
      <c r="J4" s="19" t="s">
        <v>144</v>
      </c>
      <c r="K4" s="19" t="s">
        <v>145</v>
      </c>
      <c r="L4" s="19" t="s">
        <v>146</v>
      </c>
      <c r="M4" s="19" t="s">
        <v>147</v>
      </c>
      <c r="N4" s="19" t="s">
        <v>148</v>
      </c>
      <c r="O4" s="19" t="s">
        <v>149</v>
      </c>
      <c r="P4" s="19" t="s">
        <v>150</v>
      </c>
      <c r="Q4" s="19" t="s">
        <v>79</v>
      </c>
      <c r="R4" s="19" t="s">
        <v>80</v>
      </c>
      <c r="S4" s="19" t="s">
        <v>151</v>
      </c>
      <c r="T4" s="19" t="s">
        <v>152</v>
      </c>
      <c r="U4" s="19" t="s">
        <v>153</v>
      </c>
      <c r="V4" s="19" t="s">
        <v>154</v>
      </c>
      <c r="W4" s="19" t="s">
        <v>155</v>
      </c>
      <c r="X4" s="19" t="s">
        <v>156</v>
      </c>
      <c r="Y4" s="19" t="s">
        <v>157</v>
      </c>
      <c r="Z4" s="19" t="s">
        <v>117</v>
      </c>
      <c r="AA4" s="19" t="s">
        <v>158</v>
      </c>
      <c r="AB4" s="19" t="s">
        <v>159</v>
      </c>
      <c r="AC4" s="19" t="s">
        <v>160</v>
      </c>
    </row>
    <row r="5" customFormat="false" ht="15" hidden="false" customHeight="false" outlineLevel="0" collapsed="false">
      <c r="A5" s="23" t="s">
        <v>161</v>
      </c>
      <c r="B5" s="23" t="n">
        <v>2600</v>
      </c>
      <c r="C5" s="23" t="n">
        <v>3</v>
      </c>
      <c r="D5" s="27" t="n">
        <v>45939</v>
      </c>
      <c r="E5" s="20" t="str">
        <f aca="false">VLOOKUP(B5,Inputs!$A$54:$L$60,11,0)</f>
        <v>Flat rack</v>
      </c>
      <c r="F5" s="36" t="n">
        <f aca="false">SUMIFS('Data - SAP Issues'!$I$4:$I$254,'Data - SAP Issues'!$K$4:$K$254,A5,'Data - SAP Issues'!$M$4:$M$254,"Timber")</f>
        <v>31538.33</v>
      </c>
      <c r="G5" s="36" t="n">
        <f aca="false">SUMIFS('Data - SAP Issues'!$I$4:$I$254,'Data - SAP Issues'!$K$4:$K$254,A5)-F5</f>
        <v>33544.2</v>
      </c>
      <c r="H5" s="26" t="n">
        <v>0</v>
      </c>
      <c r="I5" s="36" t="n">
        <f aca="false">F5+G5-H5</f>
        <v>65082.53</v>
      </c>
      <c r="J5" s="37" t="n">
        <f aca="false">SUMIFS('Data - Labour'!$M$5:$M$92,'Data - Labour'!$G$5:$G$92,A5,'Data - Labour'!$B$5:$B$92,"Mistri")</f>
        <v>0</v>
      </c>
      <c r="K5" s="37" t="n">
        <f aca="false">SUMIFS('Data - Labour'!$M$5:$M$92,'Data - Labour'!$G$5:$G$92,A5,'Data - Labour'!$B$5:$B$92,"Jogali")</f>
        <v>0</v>
      </c>
      <c r="L5" s="20" t="str">
        <f aca="false">IF(J5+K5&gt;0,"Yes","No")</f>
        <v>No</v>
      </c>
      <c r="M5" s="37" t="str">
        <f aca="false">IF(L5="Yes",J5/C5,"")</f>
        <v/>
      </c>
      <c r="N5" s="37" t="str">
        <f aca="false">IF(L5="Yes",K5/C5,"")</f>
        <v/>
      </c>
      <c r="O5" s="37" t="n">
        <f aca="false">IF(L5="Yes",J5,AVERAGEIFS($M$5:$M$23,$B$5:$B$23,B5)*C5)</f>
        <v>26.625</v>
      </c>
      <c r="P5" s="37" t="n">
        <f aca="false">IF(L5="Yes",K5,AVERAGEIFS($N$5:$N$23,$B$5:$B$23,B5)*C5)</f>
        <v>61.5625</v>
      </c>
      <c r="Q5" s="36" t="n">
        <f aca="false">VLOOKUP(D5,Inputs!$A$30:$C$32,2,TRUE())</f>
        <v>760</v>
      </c>
      <c r="R5" s="36" t="n">
        <f aca="false">VLOOKUP(D5,Inputs!$A$30:$C$32,3,TRUE())</f>
        <v>460</v>
      </c>
      <c r="S5" s="36" t="n">
        <f aca="false">(O5*Q5+P5*R5)/Inputs!$C$21*(1+Inputs!$C$20)</f>
        <v>6676.140625</v>
      </c>
      <c r="T5" s="37" t="n">
        <f aca="false">SUMIFS('Data - Labour'!$N$5:$N$92,'Data - Labour'!$G$5:$G$92,A5)</f>
        <v>0</v>
      </c>
      <c r="U5" s="36" t="n">
        <f aca="false">T5*(Q5+R5)/2/Inputs!$C$21*(1+Inputs!$C$20)</f>
        <v>0</v>
      </c>
      <c r="V5" s="36" t="n">
        <f aca="false">IF(E5="40HC",ROUNDUP(C5/VLOOKUP(B5,Inputs!$A$54:$L$60,12,0),0)*VLOOKUP(D5,Inputs!$A$36:$B$38,2,TRUE()),0)</f>
        <v>0</v>
      </c>
      <c r="W5" s="36" t="n">
        <f aca="false">Inputs!$C$22</f>
        <v>1025</v>
      </c>
      <c r="X5" s="38" t="n">
        <f aca="false">I5+S5+U5+V5+W5</f>
        <v>72783.670625</v>
      </c>
      <c r="Y5" s="36" t="n">
        <f aca="false">X5/C5</f>
        <v>24261.2235416667</v>
      </c>
      <c r="Z5" s="34" t="n">
        <f aca="false">VLOOKUP(D5,Inputs!$A$66:$B$85,2,TRUE())</f>
        <v>88.26</v>
      </c>
      <c r="AA5" s="39" t="n">
        <f aca="false">Y5/Z5</f>
        <v>274.883566073722</v>
      </c>
      <c r="AB5" s="37" t="n">
        <f aca="false">SUMIFS('Data - SAP Issues'!$N$4:$N$254,'Data - SAP Issues'!$K$4:$K$254,A5)</f>
        <v>45.048939375</v>
      </c>
      <c r="AC5" s="33" t="s">
        <v>162</v>
      </c>
    </row>
    <row r="6" customFormat="false" ht="15" hidden="false" customHeight="false" outlineLevel="0" collapsed="false">
      <c r="A6" s="23" t="s">
        <v>163</v>
      </c>
      <c r="B6" s="23" t="n">
        <v>2400</v>
      </c>
      <c r="C6" s="23" t="n">
        <v>2</v>
      </c>
      <c r="D6" s="27" t="n">
        <v>45951</v>
      </c>
      <c r="E6" s="20" t="str">
        <f aca="false">VLOOKUP(B6,Inputs!$A$54:$L$60,11,0)</f>
        <v>Flat rack</v>
      </c>
      <c r="F6" s="36" t="n">
        <f aca="false">SUMIFS('Data - SAP Issues'!$I$4:$I$254,'Data - SAP Issues'!$K$4:$K$254,A6,'Data - SAP Issues'!$M$4:$M$254,"Timber")</f>
        <v>20415.81</v>
      </c>
      <c r="G6" s="36" t="n">
        <f aca="false">SUMIFS('Data - SAP Issues'!$I$4:$I$254,'Data - SAP Issues'!$K$4:$K$254,A6)-F6</f>
        <v>22543.6</v>
      </c>
      <c r="H6" s="26" t="n">
        <v>0</v>
      </c>
      <c r="I6" s="36" t="n">
        <f aca="false">F6+G6-H6</f>
        <v>42959.41</v>
      </c>
      <c r="J6" s="37" t="n">
        <f aca="false">SUMIFS('Data - Labour'!$M$5:$M$92,'Data - Labour'!$G$5:$G$92,A6,'Data - Labour'!$B$5:$B$92,"Mistri")</f>
        <v>0</v>
      </c>
      <c r="K6" s="37" t="n">
        <f aca="false">SUMIFS('Data - Labour'!$M$5:$M$92,'Data - Labour'!$G$5:$G$92,A6,'Data - Labour'!$B$5:$B$92,"Jogali")</f>
        <v>0</v>
      </c>
      <c r="L6" s="20" t="str">
        <f aca="false">IF(J6+K6&gt;0,"Yes","No")</f>
        <v>No</v>
      </c>
      <c r="M6" s="37" t="str">
        <f aca="false">IF(L6="Yes",J6/C6,"")</f>
        <v/>
      </c>
      <c r="N6" s="37" t="str">
        <f aca="false">IF(L6="Yes",K6/C6,"")</f>
        <v/>
      </c>
      <c r="O6" s="37" t="n">
        <f aca="false">IF(L6="Yes",J6,AVERAGEIFS($M$5:$M$23,$B$5:$B$23,B6)*C6)</f>
        <v>19.6333333333333</v>
      </c>
      <c r="P6" s="37" t="n">
        <f aca="false">IF(L6="Yes",K6,AVERAGEIFS($N$5:$N$23,$B$5:$B$23,B6)*C6)</f>
        <v>37.9</v>
      </c>
      <c r="Q6" s="36" t="n">
        <f aca="false">VLOOKUP(D6,Inputs!$A$30:$C$32,2,TRUE())</f>
        <v>760</v>
      </c>
      <c r="R6" s="36" t="n">
        <f aca="false">VLOOKUP(D6,Inputs!$A$30:$C$32,3,TRUE())</f>
        <v>460</v>
      </c>
      <c r="S6" s="36" t="n">
        <f aca="false">(O6*Q6+P6*R6)/Inputs!$C$21*(1+Inputs!$C$20)</f>
        <v>4448.85833333333</v>
      </c>
      <c r="T6" s="37" t="n">
        <f aca="false">SUMIFS('Data - Labour'!$N$5:$N$92,'Data - Labour'!$G$5:$G$92,A6)</f>
        <v>0</v>
      </c>
      <c r="U6" s="36" t="n">
        <f aca="false">T6*(Q6+R6)/2/Inputs!$C$21*(1+Inputs!$C$20)</f>
        <v>0</v>
      </c>
      <c r="V6" s="36" t="n">
        <f aca="false">IF(E6="40HC",ROUNDUP(C6/VLOOKUP(B6,Inputs!$A$54:$L$60,12,0),0)*VLOOKUP(D6,Inputs!$A$36:$B$38,2,TRUE()),0)</f>
        <v>0</v>
      </c>
      <c r="W6" s="36" t="n">
        <f aca="false">Inputs!$C$22</f>
        <v>1025</v>
      </c>
      <c r="X6" s="38" t="n">
        <f aca="false">I6+S6+U6+V6+W6</f>
        <v>48433.2683333333</v>
      </c>
      <c r="Y6" s="36" t="n">
        <f aca="false">X6/C6</f>
        <v>24216.6341666667</v>
      </c>
      <c r="Z6" s="34" t="n">
        <f aca="false">VLOOKUP(D6,Inputs!$A$66:$B$85,2,TRUE())</f>
        <v>87.82</v>
      </c>
      <c r="AA6" s="39" t="n">
        <f aca="false">Y6/Z6</f>
        <v>275.753064981401</v>
      </c>
      <c r="AB6" s="37" t="n">
        <f aca="false">SUMIFS('Data - SAP Issues'!$N$4:$N$254,'Data - SAP Issues'!$K$4:$K$254,A6)</f>
        <v>29.16164625</v>
      </c>
      <c r="AC6" s="33" t="s">
        <v>162</v>
      </c>
    </row>
    <row r="7" customFormat="false" ht="15" hidden="false" customHeight="false" outlineLevel="0" collapsed="false">
      <c r="A7" s="23" t="s">
        <v>164</v>
      </c>
      <c r="B7" s="23" t="n">
        <v>1800</v>
      </c>
      <c r="C7" s="23" t="n">
        <v>4</v>
      </c>
      <c r="D7" s="27" t="n">
        <v>45967</v>
      </c>
      <c r="E7" s="20" t="str">
        <f aca="false">VLOOKUP(B7,Inputs!$A$54:$L$60,11,0)</f>
        <v>40HC</v>
      </c>
      <c r="F7" s="36" t="n">
        <f aca="false">SUMIFS('Data - SAP Issues'!$I$4:$I$254,'Data - SAP Issues'!$K$4:$K$254,A7,'Data - SAP Issues'!$M$4:$M$254,"Timber")</f>
        <v>21654.84</v>
      </c>
      <c r="G7" s="36" t="n">
        <f aca="false">SUMIFS('Data - SAP Issues'!$I$4:$I$254,'Data - SAP Issues'!$K$4:$K$254,A7)-F7</f>
        <v>20153</v>
      </c>
      <c r="H7" s="26" t="n">
        <v>0</v>
      </c>
      <c r="I7" s="36" t="n">
        <f aca="false">F7+G7-H7</f>
        <v>41807.84</v>
      </c>
      <c r="J7" s="37" t="n">
        <f aca="false">SUMIFS('Data - Labour'!$M$5:$M$92,'Data - Labour'!$G$5:$G$92,A7,'Data - Labour'!$B$5:$B$92,"Mistri")</f>
        <v>0</v>
      </c>
      <c r="K7" s="37" t="n">
        <f aca="false">SUMIFS('Data - Labour'!$M$5:$M$92,'Data - Labour'!$G$5:$G$92,A7,'Data - Labour'!$B$5:$B$92,"Jogali")</f>
        <v>0</v>
      </c>
      <c r="L7" s="20" t="str">
        <f aca="false">IF(J7+K7&gt;0,"Yes","No")</f>
        <v>No</v>
      </c>
      <c r="M7" s="37" t="str">
        <f aca="false">IF(L7="Yes",J7/C7,"")</f>
        <v/>
      </c>
      <c r="N7" s="37" t="str">
        <f aca="false">IF(L7="Yes",K7/C7,"")</f>
        <v/>
      </c>
      <c r="O7" s="37" t="n">
        <f aca="false">IF(L7="Yes",J7,AVERAGEIFS($M$5:$M$23,$B$5:$B$23,B7)*C7)</f>
        <v>19</v>
      </c>
      <c r="P7" s="37" t="n">
        <f aca="false">IF(L7="Yes",K7,AVERAGEIFS($N$5:$N$23,$B$5:$B$23,B7)*C7)</f>
        <v>40.5</v>
      </c>
      <c r="Q7" s="36" t="n">
        <f aca="false">VLOOKUP(D7,Inputs!$A$30:$C$32,2,TRUE())</f>
        <v>760</v>
      </c>
      <c r="R7" s="36" t="n">
        <f aca="false">VLOOKUP(D7,Inputs!$A$30:$C$32,3,TRUE())</f>
        <v>460</v>
      </c>
      <c r="S7" s="36" t="n">
        <f aca="false">(O7*Q7+P7*R7)/Inputs!$C$21*(1+Inputs!$C$20)</f>
        <v>4547.125</v>
      </c>
      <c r="T7" s="37" t="n">
        <f aca="false">SUMIFS('Data - Labour'!$N$5:$N$92,'Data - Labour'!$G$5:$G$92,A7)</f>
        <v>0</v>
      </c>
      <c r="U7" s="36" t="n">
        <f aca="false">T7*(Q7+R7)/2/Inputs!$C$21*(1+Inputs!$C$20)</f>
        <v>0</v>
      </c>
      <c r="V7" s="36" t="n">
        <f aca="false">IF(E7="40HC",ROUNDUP(C7/VLOOKUP(B7,Inputs!$A$54:$L$60,12,0),0)*VLOOKUP(D7,Inputs!$A$36:$B$38,2,TRUE()),0)</f>
        <v>6000</v>
      </c>
      <c r="W7" s="36" t="n">
        <f aca="false">Inputs!$C$22</f>
        <v>1025</v>
      </c>
      <c r="X7" s="38" t="n">
        <f aca="false">I7+S7+U7+V7+W7</f>
        <v>53379.965</v>
      </c>
      <c r="Y7" s="36" t="n">
        <f aca="false">X7/C7</f>
        <v>13344.99125</v>
      </c>
      <c r="Z7" s="34" t="n">
        <f aca="false">VLOOKUP(D7,Inputs!$A$66:$B$85,2,TRUE())</f>
        <v>88.7</v>
      </c>
      <c r="AA7" s="39" t="n">
        <f aca="false">Y7/Z7</f>
        <v>150.450859639233</v>
      </c>
      <c r="AB7" s="37" t="n">
        <f aca="false">SUMIFS('Data - SAP Issues'!$N$4:$N$254,'Data - SAP Issues'!$K$4:$K$254,A7)</f>
        <v>30.93156</v>
      </c>
      <c r="AC7" s="33" t="s">
        <v>162</v>
      </c>
    </row>
    <row r="8" customFormat="false" ht="15" hidden="false" customHeight="false" outlineLevel="0" collapsed="false">
      <c r="A8" s="23" t="s">
        <v>165</v>
      </c>
      <c r="B8" s="23" t="n">
        <v>2600</v>
      </c>
      <c r="C8" s="23" t="n">
        <v>2</v>
      </c>
      <c r="D8" s="27" t="n">
        <v>45979</v>
      </c>
      <c r="E8" s="20" t="str">
        <f aca="false">VLOOKUP(B8,Inputs!$A$54:$L$60,11,0)</f>
        <v>Flat rack</v>
      </c>
      <c r="F8" s="36" t="n">
        <f aca="false">SUMIFS('Data - SAP Issues'!$I$4:$I$254,'Data - SAP Issues'!$K$4:$K$254,A8,'Data - SAP Issues'!$M$4:$M$254,"Timber")</f>
        <v>25860.44</v>
      </c>
      <c r="G8" s="36" t="n">
        <f aca="false">SUMIFS('Data - SAP Issues'!$I$4:$I$254,'Data - SAP Issues'!$K$4:$K$254,A8)-F8</f>
        <v>24937.8</v>
      </c>
      <c r="H8" s="26" t="n">
        <v>0</v>
      </c>
      <c r="I8" s="36" t="n">
        <f aca="false">F8+G8-H8</f>
        <v>50798.24</v>
      </c>
      <c r="J8" s="37" t="n">
        <f aca="false">SUMIFS('Data - Labour'!$M$5:$M$92,'Data - Labour'!$G$5:$G$92,A8,'Data - Labour'!$B$5:$B$92,"Mistri")</f>
        <v>0</v>
      </c>
      <c r="K8" s="37" t="n">
        <f aca="false">SUMIFS('Data - Labour'!$M$5:$M$92,'Data - Labour'!$G$5:$G$92,A8,'Data - Labour'!$B$5:$B$92,"Jogali")</f>
        <v>0</v>
      </c>
      <c r="L8" s="20" t="str">
        <f aca="false">IF(J8+K8&gt;0,"Yes","No")</f>
        <v>No</v>
      </c>
      <c r="M8" s="37" t="str">
        <f aca="false">IF(L8="Yes",J8/C8,"")</f>
        <v/>
      </c>
      <c r="N8" s="37" t="str">
        <f aca="false">IF(L8="Yes",K8/C8,"")</f>
        <v/>
      </c>
      <c r="O8" s="37" t="n">
        <f aca="false">IF(L8="Yes",J8,AVERAGEIFS($M$5:$M$23,$B$5:$B$23,B8)*C8)</f>
        <v>17.75</v>
      </c>
      <c r="P8" s="37" t="n">
        <f aca="false">IF(L8="Yes",K8,AVERAGEIFS($N$5:$N$23,$B$5:$B$23,B8)*C8)</f>
        <v>41.0416666666667</v>
      </c>
      <c r="Q8" s="36" t="n">
        <f aca="false">VLOOKUP(D8,Inputs!$A$30:$C$32,2,TRUE())</f>
        <v>760</v>
      </c>
      <c r="R8" s="36" t="n">
        <f aca="false">VLOOKUP(D8,Inputs!$A$30:$C$32,3,TRUE())</f>
        <v>460</v>
      </c>
      <c r="S8" s="36" t="n">
        <f aca="false">(O8*Q8+P8*R8)/Inputs!$C$21*(1+Inputs!$C$20)</f>
        <v>4450.76041666667</v>
      </c>
      <c r="T8" s="37" t="n">
        <f aca="false">SUMIFS('Data - Labour'!$N$5:$N$92,'Data - Labour'!$G$5:$G$92,A8)</f>
        <v>0</v>
      </c>
      <c r="U8" s="36" t="n">
        <f aca="false">T8*(Q8+R8)/2/Inputs!$C$21*(1+Inputs!$C$20)</f>
        <v>0</v>
      </c>
      <c r="V8" s="36" t="n">
        <f aca="false">IF(E8="40HC",ROUNDUP(C8/VLOOKUP(B8,Inputs!$A$54:$L$60,12,0),0)*VLOOKUP(D8,Inputs!$A$36:$B$38,2,TRUE()),0)</f>
        <v>0</v>
      </c>
      <c r="W8" s="36" t="n">
        <f aca="false">Inputs!$C$22</f>
        <v>1025</v>
      </c>
      <c r="X8" s="38" t="n">
        <f aca="false">I8+S8+U8+V8+W8</f>
        <v>56274.0004166667</v>
      </c>
      <c r="Y8" s="36" t="n">
        <f aca="false">X8/C8</f>
        <v>28137.0002083333</v>
      </c>
      <c r="Z8" s="34" t="n">
        <f aca="false">VLOOKUP(D8,Inputs!$A$66:$B$85,2,TRUE())</f>
        <v>88.66</v>
      </c>
      <c r="AA8" s="39" t="n">
        <f aca="false">Y8/Z8</f>
        <v>317.35845035341</v>
      </c>
      <c r="AB8" s="37" t="n">
        <f aca="false">SUMIFS('Data - SAP Issues'!$N$4:$N$254,'Data - SAP Issues'!$K$4:$K$254,A8)</f>
        <v>36.93867375</v>
      </c>
      <c r="AC8" s="33" t="s">
        <v>166</v>
      </c>
    </row>
    <row r="9" customFormat="false" ht="15" hidden="false" customHeight="false" outlineLevel="0" collapsed="false">
      <c r="A9" s="23" t="s">
        <v>167</v>
      </c>
      <c r="B9" s="23" t="n">
        <v>2400</v>
      </c>
      <c r="C9" s="23" t="n">
        <v>4</v>
      </c>
      <c r="D9" s="27" t="n">
        <v>45988</v>
      </c>
      <c r="E9" s="20" t="str">
        <f aca="false">VLOOKUP(B9,Inputs!$A$54:$L$60,11,0)</f>
        <v>Flat rack</v>
      </c>
      <c r="F9" s="36" t="n">
        <f aca="false">SUMIFS('Data - SAP Issues'!$I$4:$I$254,'Data - SAP Issues'!$K$4:$K$254,A9,'Data - SAP Issues'!$M$4:$M$254,"Timber")</f>
        <v>42075.3</v>
      </c>
      <c r="G9" s="36" t="n">
        <f aca="false">SUMIFS('Data - SAP Issues'!$I$4:$I$254,'Data - SAP Issues'!$K$4:$K$254,A9)-F9</f>
        <v>42876.8</v>
      </c>
      <c r="H9" s="26" t="n">
        <v>0</v>
      </c>
      <c r="I9" s="36" t="n">
        <f aca="false">F9+G9-H9</f>
        <v>84952.1</v>
      </c>
      <c r="J9" s="37" t="n">
        <f aca="false">SUMIFS('Data - Labour'!$M$5:$M$92,'Data - Labour'!$G$5:$G$92,A9,'Data - Labour'!$B$5:$B$92,"Mistri")</f>
        <v>0</v>
      </c>
      <c r="K9" s="37" t="n">
        <f aca="false">SUMIFS('Data - Labour'!$M$5:$M$92,'Data - Labour'!$G$5:$G$92,A9,'Data - Labour'!$B$5:$B$92,"Jogali")</f>
        <v>0</v>
      </c>
      <c r="L9" s="20" t="str">
        <f aca="false">IF(J9+K9&gt;0,"Yes","No")</f>
        <v>No</v>
      </c>
      <c r="M9" s="37" t="str">
        <f aca="false">IF(L9="Yes",J9/C9,"")</f>
        <v/>
      </c>
      <c r="N9" s="37" t="str">
        <f aca="false">IF(L9="Yes",K9/C9,"")</f>
        <v/>
      </c>
      <c r="O9" s="37" t="n">
        <f aca="false">IF(L9="Yes",J9,AVERAGEIFS($M$5:$M$23,$B$5:$B$23,B9)*C9)</f>
        <v>39.2666666666667</v>
      </c>
      <c r="P9" s="37" t="n">
        <f aca="false">IF(L9="Yes",K9,AVERAGEIFS($N$5:$N$23,$B$5:$B$23,B9)*C9)</f>
        <v>75.8</v>
      </c>
      <c r="Q9" s="36" t="n">
        <f aca="false">VLOOKUP(D9,Inputs!$A$30:$C$32,2,TRUE())</f>
        <v>760</v>
      </c>
      <c r="R9" s="36" t="n">
        <f aca="false">VLOOKUP(D9,Inputs!$A$30:$C$32,3,TRUE())</f>
        <v>460</v>
      </c>
      <c r="S9" s="36" t="n">
        <f aca="false">(O9*Q9+P9*R9)/Inputs!$C$21*(1+Inputs!$C$20)</f>
        <v>8897.71666666667</v>
      </c>
      <c r="T9" s="37" t="n">
        <f aca="false">SUMIFS('Data - Labour'!$N$5:$N$92,'Data - Labour'!$G$5:$G$92,A9)</f>
        <v>0</v>
      </c>
      <c r="U9" s="36" t="n">
        <f aca="false">T9*(Q9+R9)/2/Inputs!$C$21*(1+Inputs!$C$20)</f>
        <v>0</v>
      </c>
      <c r="V9" s="36" t="n">
        <f aca="false">IF(E9="40HC",ROUNDUP(C9/VLOOKUP(B9,Inputs!$A$54:$L$60,12,0),0)*VLOOKUP(D9,Inputs!$A$36:$B$38,2,TRUE()),0)</f>
        <v>0</v>
      </c>
      <c r="W9" s="36" t="n">
        <f aca="false">Inputs!$C$22</f>
        <v>1025</v>
      </c>
      <c r="X9" s="38" t="n">
        <f aca="false">I9+S9+U9+V9+W9</f>
        <v>94874.8166666667</v>
      </c>
      <c r="Y9" s="36" t="n">
        <f aca="false">X9/C9</f>
        <v>23718.7041666667</v>
      </c>
      <c r="Z9" s="34" t="n">
        <f aca="false">VLOOKUP(D9,Inputs!$A$66:$B$85,2,TRUE())</f>
        <v>88.66</v>
      </c>
      <c r="AA9" s="39" t="n">
        <f aca="false">Y9/Z9</f>
        <v>267.52429693962</v>
      </c>
      <c r="AB9" s="37" t="n">
        <f aca="false">SUMIFS('Data - SAP Issues'!$N$4:$N$254,'Data - SAP Issues'!$K$4:$K$254,A9)</f>
        <v>60.099826875</v>
      </c>
      <c r="AC9" s="33" t="s">
        <v>162</v>
      </c>
    </row>
    <row r="10" customFormat="false" ht="15" hidden="false" customHeight="false" outlineLevel="0" collapsed="false">
      <c r="A10" s="23" t="s">
        <v>168</v>
      </c>
      <c r="B10" s="23" t="n">
        <v>1400</v>
      </c>
      <c r="C10" s="23" t="n">
        <v>2</v>
      </c>
      <c r="D10" s="27" t="n">
        <v>46001</v>
      </c>
      <c r="E10" s="20" t="str">
        <f aca="false">VLOOKUP(B10,Inputs!$A$54:$L$60,11,0)</f>
        <v>40HC</v>
      </c>
      <c r="F10" s="36" t="n">
        <f aca="false">SUMIFS('Data - SAP Issues'!$I$4:$I$254,'Data - SAP Issues'!$K$4:$K$254,A10,'Data - SAP Issues'!$M$4:$M$254,"Timber")</f>
        <v>12445.02</v>
      </c>
      <c r="G10" s="36" t="n">
        <f aca="false">SUMIFS('Data - SAP Issues'!$I$4:$I$254,'Data - SAP Issues'!$K$4:$K$254,A10)-F10</f>
        <v>9453.2</v>
      </c>
      <c r="H10" s="26" t="n">
        <v>0</v>
      </c>
      <c r="I10" s="36" t="n">
        <f aca="false">F10+G10-H10</f>
        <v>21898.22</v>
      </c>
      <c r="J10" s="37" t="n">
        <f aca="false">SUMIFS('Data - Labour'!$M$5:$M$92,'Data - Labour'!$G$5:$G$92,A10,'Data - Labour'!$B$5:$B$92,"Mistri")</f>
        <v>0</v>
      </c>
      <c r="K10" s="37" t="n">
        <f aca="false">SUMIFS('Data - Labour'!$M$5:$M$92,'Data - Labour'!$G$5:$G$92,A10,'Data - Labour'!$B$5:$B$92,"Jogali")</f>
        <v>0</v>
      </c>
      <c r="L10" s="20" t="str">
        <f aca="false">IF(J10+K10&gt;0,"Yes","No")</f>
        <v>No</v>
      </c>
      <c r="M10" s="37" t="str">
        <f aca="false">IF(L10="Yes",J10/C10,"")</f>
        <v/>
      </c>
      <c r="N10" s="37" t="str">
        <f aca="false">IF(L10="Yes",K10/C10,"")</f>
        <v/>
      </c>
      <c r="O10" s="37" t="n">
        <f aca="false">IF(L10="Yes",J10,AVERAGEIFS($M$5:$M$23,$B$5:$B$23,B10)*C10)</f>
        <v>7</v>
      </c>
      <c r="P10" s="37" t="n">
        <f aca="false">IF(L10="Yes",K10,AVERAGEIFS($N$5:$N$23,$B$5:$B$23,B10)*C10)</f>
        <v>17.6666666666667</v>
      </c>
      <c r="Q10" s="36" t="n">
        <f aca="false">VLOOKUP(D10,Inputs!$A$30:$C$32,2,TRUE())</f>
        <v>760</v>
      </c>
      <c r="R10" s="36" t="n">
        <f aca="false">VLOOKUP(D10,Inputs!$A$30:$C$32,3,TRUE())</f>
        <v>460</v>
      </c>
      <c r="S10" s="36" t="n">
        <f aca="false">(O10*Q10+P10*R10)/Inputs!$C$21*(1+Inputs!$C$20)</f>
        <v>1848.91666666667</v>
      </c>
      <c r="T10" s="37" t="n">
        <f aca="false">SUMIFS('Data - Labour'!$N$5:$N$92,'Data - Labour'!$G$5:$G$92,A10)</f>
        <v>0</v>
      </c>
      <c r="U10" s="36" t="n">
        <f aca="false">T10*(Q10+R10)/2/Inputs!$C$21*(1+Inputs!$C$20)</f>
        <v>0</v>
      </c>
      <c r="V10" s="36" t="n">
        <f aca="false">IF(E10="40HC",ROUNDUP(C10/VLOOKUP(B10,Inputs!$A$54:$L$60,12,0),0)*VLOOKUP(D10,Inputs!$A$36:$B$38,2,TRUE()),0)</f>
        <v>3000</v>
      </c>
      <c r="W10" s="36" t="n">
        <f aca="false">Inputs!$C$22</f>
        <v>1025</v>
      </c>
      <c r="X10" s="38" t="n">
        <f aca="false">I10+S10+U10+V10+W10</f>
        <v>27772.1366666667</v>
      </c>
      <c r="Y10" s="36" t="n">
        <f aca="false">X10/C10</f>
        <v>13886.0683333333</v>
      </c>
      <c r="Z10" s="34" t="n">
        <f aca="false">VLOOKUP(D10,Inputs!$A$66:$B$85,2,TRUE())</f>
        <v>89.53</v>
      </c>
      <c r="AA10" s="39" t="n">
        <f aca="false">Y10/Z10</f>
        <v>155.099612792732</v>
      </c>
      <c r="AB10" s="37" t="n">
        <f aca="false">SUMIFS('Data - SAP Issues'!$N$4:$N$254,'Data - SAP Issues'!$K$4:$K$254,A10)</f>
        <v>17.776378125</v>
      </c>
      <c r="AC10" s="33" t="s">
        <v>162</v>
      </c>
    </row>
    <row r="11" customFormat="false" ht="15" hidden="false" customHeight="false" outlineLevel="0" collapsed="false">
      <c r="A11" s="23" t="s">
        <v>169</v>
      </c>
      <c r="B11" s="23" t="n">
        <v>2000</v>
      </c>
      <c r="C11" s="23" t="n">
        <v>3</v>
      </c>
      <c r="D11" s="27" t="n">
        <v>46010</v>
      </c>
      <c r="E11" s="20" t="str">
        <f aca="false">VLOOKUP(B11,Inputs!$A$54:$L$60,11,0)</f>
        <v>40HC</v>
      </c>
      <c r="F11" s="36" t="n">
        <f aca="false">SUMIFS('Data - SAP Issues'!$I$4:$I$254,'Data - SAP Issues'!$K$4:$K$254,A11,'Data - SAP Issues'!$M$4:$M$254,"Timber")</f>
        <v>17821.64</v>
      </c>
      <c r="G11" s="36" t="n">
        <f aca="false">SUMIFS('Data - SAP Issues'!$I$4:$I$254,'Data - SAP Issues'!$K$4:$K$254,A11)-F11</f>
        <v>15529.4</v>
      </c>
      <c r="H11" s="26" t="n">
        <v>0</v>
      </c>
      <c r="I11" s="36" t="n">
        <f aca="false">F11+G11-H11</f>
        <v>33351.04</v>
      </c>
      <c r="J11" s="37" t="n">
        <f aca="false">SUMIFS('Data - Labour'!$M$5:$M$92,'Data - Labour'!$G$5:$G$92,A11,'Data - Labour'!$B$5:$B$92,"Mistri")</f>
        <v>0</v>
      </c>
      <c r="K11" s="37" t="n">
        <f aca="false">SUMIFS('Data - Labour'!$M$5:$M$92,'Data - Labour'!$G$5:$G$92,A11,'Data - Labour'!$B$5:$B$92,"Jogali")</f>
        <v>0</v>
      </c>
      <c r="L11" s="20" t="str">
        <f aca="false">IF(J11+K11&gt;0,"Yes","No")</f>
        <v>No</v>
      </c>
      <c r="M11" s="37" t="str">
        <f aca="false">IF(L11="Yes",J11/C11,"")</f>
        <v/>
      </c>
      <c r="N11" s="37" t="str">
        <f aca="false">IF(L11="Yes",K11/C11,"")</f>
        <v/>
      </c>
      <c r="O11" s="37" t="n">
        <f aca="false">IF(L11="Yes",J11,AVERAGEIFS($M$5:$M$23,$B$5:$B$23,B11)*C11)</f>
        <v>11.25</v>
      </c>
      <c r="P11" s="37" t="n">
        <f aca="false">IF(L11="Yes",K11,AVERAGEIFS($N$5:$N$23,$B$5:$B$23,B11)*C11)</f>
        <v>28.55</v>
      </c>
      <c r="Q11" s="36" t="n">
        <f aca="false">VLOOKUP(D11,Inputs!$A$30:$C$32,2,TRUE())</f>
        <v>760</v>
      </c>
      <c r="R11" s="36" t="n">
        <f aca="false">VLOOKUP(D11,Inputs!$A$30:$C$32,3,TRUE())</f>
        <v>460</v>
      </c>
      <c r="S11" s="36" t="n">
        <f aca="false">(O11*Q11+P11*R11)/Inputs!$C$21*(1+Inputs!$C$20)</f>
        <v>2981.4125</v>
      </c>
      <c r="T11" s="37" t="n">
        <f aca="false">SUMIFS('Data - Labour'!$N$5:$N$92,'Data - Labour'!$G$5:$G$92,A11)</f>
        <v>0</v>
      </c>
      <c r="U11" s="36" t="n">
        <f aca="false">T11*(Q11+R11)/2/Inputs!$C$21*(1+Inputs!$C$20)</f>
        <v>0</v>
      </c>
      <c r="V11" s="36" t="n">
        <f aca="false">IF(E11="40HC",ROUNDUP(C11/VLOOKUP(B11,Inputs!$A$54:$L$60,12,0),0)*VLOOKUP(D11,Inputs!$A$36:$B$38,2,TRUE()),0)</f>
        <v>3000</v>
      </c>
      <c r="W11" s="36" t="n">
        <f aca="false">Inputs!$C$22</f>
        <v>1025</v>
      </c>
      <c r="X11" s="38" t="n">
        <f aca="false">I11+S11+U11+V11+W11</f>
        <v>40357.4525</v>
      </c>
      <c r="Y11" s="36" t="n">
        <f aca="false">X11/C11</f>
        <v>13452.4841666667</v>
      </c>
      <c r="Z11" s="34" t="n">
        <f aca="false">VLOOKUP(D11,Inputs!$A$66:$B$85,2,TRUE())</f>
        <v>89.53</v>
      </c>
      <c r="AA11" s="39" t="n">
        <f aca="false">Y11/Z11</f>
        <v>150.256720279981</v>
      </c>
      <c r="AB11" s="37" t="n">
        <f aca="false">SUMIFS('Data - SAP Issues'!$N$4:$N$254,'Data - SAP Issues'!$K$4:$K$254,A11)</f>
        <v>25.456303125</v>
      </c>
      <c r="AC11" s="33" t="s">
        <v>170</v>
      </c>
    </row>
    <row r="12" customFormat="false" ht="15" hidden="false" customHeight="false" outlineLevel="0" collapsed="false">
      <c r="A12" s="23" t="s">
        <v>171</v>
      </c>
      <c r="B12" s="23" t="n">
        <v>1600</v>
      </c>
      <c r="C12" s="23" t="n">
        <v>2</v>
      </c>
      <c r="D12" s="27" t="n">
        <v>46065</v>
      </c>
      <c r="E12" s="20" t="str">
        <f aca="false">VLOOKUP(B12,Inputs!$A$54:$L$60,11,0)</f>
        <v>40HC</v>
      </c>
      <c r="F12" s="36" t="n">
        <f aca="false">SUMIFS('Data - SAP Issues'!$I$4:$I$254,'Data - SAP Issues'!$K$4:$K$254,A12,'Data - SAP Issues'!$M$4:$M$254,"Timber")</f>
        <v>12052.21</v>
      </c>
      <c r="G12" s="36" t="n">
        <f aca="false">SUMIFS('Data - SAP Issues'!$I$4:$I$254,'Data - SAP Issues'!$K$4:$K$254,A12)-F12</f>
        <v>10024.6</v>
      </c>
      <c r="H12" s="26" t="n">
        <v>0</v>
      </c>
      <c r="I12" s="36" t="n">
        <f aca="false">F12+G12-H12</f>
        <v>22076.81</v>
      </c>
      <c r="J12" s="37" t="n">
        <f aca="false">SUMIFS('Data - Labour'!$M$5:$M$92,'Data - Labour'!$G$5:$G$92,A12,'Data - Labour'!$B$5:$B$92,"Mistri")</f>
        <v>8.5</v>
      </c>
      <c r="K12" s="37" t="n">
        <f aca="false">SUMIFS('Data - Labour'!$M$5:$M$92,'Data - Labour'!$G$5:$G$92,A12,'Data - Labour'!$B$5:$B$92,"Jogali")</f>
        <v>18.5</v>
      </c>
      <c r="L12" s="20" t="str">
        <f aca="false">IF(J12+K12&gt;0,"Yes","No")</f>
        <v>Yes</v>
      </c>
      <c r="M12" s="37" t="n">
        <f aca="false">IF(L12="Yes",J12/C12,"")</f>
        <v>4.25</v>
      </c>
      <c r="N12" s="37" t="n">
        <f aca="false">IF(L12="Yes",K12/C12,"")</f>
        <v>9.25</v>
      </c>
      <c r="O12" s="37" t="n">
        <f aca="false">IF(L12="Yes",J12,AVERAGEIFS($M$5:$M$23,$B$5:$B$23,B12)*C12)</f>
        <v>8.5</v>
      </c>
      <c r="P12" s="37" t="n">
        <f aca="false">IF(L12="Yes",K12,AVERAGEIFS($N$5:$N$23,$B$5:$B$23,B12)*C12)</f>
        <v>18.5</v>
      </c>
      <c r="Q12" s="36" t="n">
        <f aca="false">VLOOKUP(D12,Inputs!$A$30:$C$32,2,TRUE())</f>
        <v>760</v>
      </c>
      <c r="R12" s="36" t="n">
        <f aca="false">VLOOKUP(D12,Inputs!$A$30:$C$32,3,TRUE())</f>
        <v>460</v>
      </c>
      <c r="S12" s="36" t="n">
        <f aca="false">(O12*Q12+P12*R12)/Inputs!$C$21*(1+Inputs!$C$20)</f>
        <v>2058.375</v>
      </c>
      <c r="T12" s="37" t="n">
        <f aca="false">SUMIFS('Data - Labour'!$N$5:$N$92,'Data - Labour'!$G$5:$G$92,A12)</f>
        <v>1</v>
      </c>
      <c r="U12" s="36" t="n">
        <f aca="false">T12*(Q12+R12)/2/Inputs!$C$21*(1+Inputs!$C$20)</f>
        <v>83.875</v>
      </c>
      <c r="V12" s="36" t="n">
        <f aca="false">IF(E12="40HC",ROUNDUP(C12/VLOOKUP(B12,Inputs!$A$54:$L$60,12,0),0)*VLOOKUP(D12,Inputs!$A$36:$B$38,2,TRUE()),0)</f>
        <v>3200</v>
      </c>
      <c r="W12" s="36" t="n">
        <f aca="false">Inputs!$C$22</f>
        <v>1025</v>
      </c>
      <c r="X12" s="38" t="n">
        <f aca="false">I12+S12+U12+V12+W12</f>
        <v>28444.06</v>
      </c>
      <c r="Y12" s="36" t="n">
        <f aca="false">X12/C12</f>
        <v>14222.03</v>
      </c>
      <c r="Z12" s="34" t="n">
        <f aca="false">VLOOKUP(D12,Inputs!$A$66:$B$85,2,TRUE())</f>
        <v>89.88</v>
      </c>
      <c r="AA12" s="39" t="n">
        <f aca="false">Y12/Z12</f>
        <v>158.233533600356</v>
      </c>
      <c r="AB12" s="37" t="n">
        <f aca="false">SUMIFS('Data - SAP Issues'!$N$4:$N$254,'Data - SAP Issues'!$K$4:$K$254,A12)</f>
        <v>16.73694</v>
      </c>
      <c r="AC12" s="33"/>
    </row>
    <row r="13" customFormat="false" ht="15" hidden="false" customHeight="false" outlineLevel="0" collapsed="false">
      <c r="A13" s="23" t="s">
        <v>172</v>
      </c>
      <c r="B13" s="23" t="n">
        <v>1800</v>
      </c>
      <c r="C13" s="23" t="n">
        <v>2</v>
      </c>
      <c r="D13" s="27" t="n">
        <v>46072</v>
      </c>
      <c r="E13" s="20" t="str">
        <f aca="false">VLOOKUP(B13,Inputs!$A$54:$L$60,11,0)</f>
        <v>40HC</v>
      </c>
      <c r="F13" s="36" t="n">
        <f aca="false">SUMIFS('Data - SAP Issues'!$I$4:$I$254,'Data - SAP Issues'!$K$4:$K$254,A13,'Data - SAP Issues'!$M$4:$M$254,"Timber")</f>
        <v>10478.98</v>
      </c>
      <c r="G13" s="36" t="n">
        <f aca="false">SUMIFS('Data - SAP Issues'!$I$4:$I$254,'Data - SAP Issues'!$K$4:$K$254,A13)-F13</f>
        <v>10438.2</v>
      </c>
      <c r="H13" s="26" t="n">
        <v>0</v>
      </c>
      <c r="I13" s="36" t="n">
        <f aca="false">F13+G13-H13</f>
        <v>20917.18</v>
      </c>
      <c r="J13" s="37" t="n">
        <f aca="false">SUMIFS('Data - Labour'!$M$5:$M$92,'Data - Labour'!$G$5:$G$92,A13,'Data - Labour'!$B$5:$B$92,"Mistri")</f>
        <v>11</v>
      </c>
      <c r="K13" s="37" t="n">
        <f aca="false">SUMIFS('Data - Labour'!$M$5:$M$92,'Data - Labour'!$G$5:$G$92,A13,'Data - Labour'!$B$5:$B$92,"Jogali")</f>
        <v>20.5</v>
      </c>
      <c r="L13" s="20" t="str">
        <f aca="false">IF(J13+K13&gt;0,"Yes","No")</f>
        <v>Yes</v>
      </c>
      <c r="M13" s="37" t="n">
        <f aca="false">IF(L13="Yes",J13/C13,"")</f>
        <v>5.5</v>
      </c>
      <c r="N13" s="37" t="n">
        <f aca="false">IF(L13="Yes",K13/C13,"")</f>
        <v>10.25</v>
      </c>
      <c r="O13" s="37" t="n">
        <f aca="false">IF(L13="Yes",J13,AVERAGEIFS($M$5:$M$23,$B$5:$B$23,B13)*C13)</f>
        <v>11</v>
      </c>
      <c r="P13" s="37" t="n">
        <f aca="false">IF(L13="Yes",K13,AVERAGEIFS($N$5:$N$23,$B$5:$B$23,B13)*C13)</f>
        <v>20.5</v>
      </c>
      <c r="Q13" s="36" t="n">
        <f aca="false">VLOOKUP(D13,Inputs!$A$30:$C$32,2,TRUE())</f>
        <v>760</v>
      </c>
      <c r="R13" s="36" t="n">
        <f aca="false">VLOOKUP(D13,Inputs!$A$30:$C$32,3,TRUE())</f>
        <v>460</v>
      </c>
      <c r="S13" s="36" t="n">
        <f aca="false">(O13*Q13+P13*R13)/Inputs!$C$21*(1+Inputs!$C$20)</f>
        <v>2446.125</v>
      </c>
      <c r="T13" s="37" t="n">
        <f aca="false">SUMIFS('Data - Labour'!$N$5:$N$92,'Data - Labour'!$G$5:$G$92,A13)</f>
        <v>0</v>
      </c>
      <c r="U13" s="36" t="n">
        <f aca="false">T13*(Q13+R13)/2/Inputs!$C$21*(1+Inputs!$C$20)</f>
        <v>0</v>
      </c>
      <c r="V13" s="36" t="n">
        <f aca="false">IF(E13="40HC",ROUNDUP(C13/VLOOKUP(B13,Inputs!$A$54:$L$60,12,0),0)*VLOOKUP(D13,Inputs!$A$36:$B$38,2,TRUE()),0)</f>
        <v>3200</v>
      </c>
      <c r="W13" s="36" t="n">
        <f aca="false">Inputs!$C$22</f>
        <v>1025</v>
      </c>
      <c r="X13" s="38" t="n">
        <f aca="false">I13+S13+U13+V13+W13</f>
        <v>27588.305</v>
      </c>
      <c r="Y13" s="36" t="n">
        <f aca="false">X13/C13</f>
        <v>13794.1525</v>
      </c>
      <c r="Z13" s="34" t="n">
        <f aca="false">VLOOKUP(D13,Inputs!$A$66:$B$85,2,TRUE())</f>
        <v>89.88</v>
      </c>
      <c r="AA13" s="39" t="n">
        <f aca="false">Y13/Z13</f>
        <v>153.4729917668</v>
      </c>
      <c r="AB13" s="37" t="n">
        <f aca="false">SUMIFS('Data - SAP Issues'!$N$4:$N$254,'Data - SAP Issues'!$K$4:$K$254,A13)</f>
        <v>14.55213375</v>
      </c>
      <c r="AC13" s="33"/>
    </row>
    <row r="14" customFormat="false" ht="15" hidden="false" customHeight="false" outlineLevel="0" collapsed="false">
      <c r="A14" s="23" t="s">
        <v>173</v>
      </c>
      <c r="B14" s="23" t="n">
        <v>2400</v>
      </c>
      <c r="C14" s="23" t="n">
        <v>5</v>
      </c>
      <c r="D14" s="27" t="n">
        <v>46086</v>
      </c>
      <c r="E14" s="20" t="str">
        <f aca="false">VLOOKUP(B14,Inputs!$A$54:$L$60,11,0)</f>
        <v>Flat rack</v>
      </c>
      <c r="F14" s="36" t="n">
        <f aca="false">SUMIFS('Data - SAP Issues'!$I$4:$I$254,'Data - SAP Issues'!$K$4:$K$254,A14,'Data - SAP Issues'!$M$4:$M$254,"Timber")</f>
        <v>62918.17</v>
      </c>
      <c r="G14" s="36" t="n">
        <f aca="false">SUMIFS('Data - SAP Issues'!$I$4:$I$254,'Data - SAP Issues'!$K$4:$K$254,A14)-F14</f>
        <v>48229.4</v>
      </c>
      <c r="H14" s="26" t="n">
        <v>1128.8</v>
      </c>
      <c r="I14" s="36" t="n">
        <f aca="false">F14+G14-H14</f>
        <v>110018.77</v>
      </c>
      <c r="J14" s="37" t="n">
        <f aca="false">SUMIFS('Data - Labour'!$M$5:$M$92,'Data - Labour'!$G$5:$G$92,A14,'Data - Labour'!$B$5:$B$92,"Mistri")</f>
        <v>46.5</v>
      </c>
      <c r="K14" s="37" t="n">
        <f aca="false">SUMIFS('Data - Labour'!$M$5:$M$92,'Data - Labour'!$G$5:$G$92,A14,'Data - Labour'!$B$5:$B$92,"Jogali")</f>
        <v>92</v>
      </c>
      <c r="L14" s="20" t="str">
        <f aca="false">IF(J14+K14&gt;0,"Yes","No")</f>
        <v>Yes</v>
      </c>
      <c r="M14" s="37" t="n">
        <f aca="false">IF(L14="Yes",J14/C14,"")</f>
        <v>9.3</v>
      </c>
      <c r="N14" s="37" t="n">
        <f aca="false">IF(L14="Yes",K14/C14,"")</f>
        <v>18.4</v>
      </c>
      <c r="O14" s="37" t="n">
        <f aca="false">IF(L14="Yes",J14,AVERAGEIFS($M$5:$M$23,$B$5:$B$23,B14)*C14)</f>
        <v>46.5</v>
      </c>
      <c r="P14" s="37" t="n">
        <f aca="false">IF(L14="Yes",K14,AVERAGEIFS($N$5:$N$23,$B$5:$B$23,B14)*C14)</f>
        <v>92</v>
      </c>
      <c r="Q14" s="36" t="n">
        <f aca="false">VLOOKUP(D14,Inputs!$A$30:$C$32,2,TRUE())</f>
        <v>760</v>
      </c>
      <c r="R14" s="36" t="n">
        <f aca="false">VLOOKUP(D14,Inputs!$A$30:$C$32,3,TRUE())</f>
        <v>460</v>
      </c>
      <c r="S14" s="36" t="n">
        <f aca="false">(O14*Q14+P14*R14)/Inputs!$C$21*(1+Inputs!$C$20)</f>
        <v>10678.25</v>
      </c>
      <c r="T14" s="37" t="n">
        <f aca="false">SUMIFS('Data - Labour'!$N$5:$N$92,'Data - Labour'!$G$5:$G$92,A14)</f>
        <v>12</v>
      </c>
      <c r="U14" s="36" t="n">
        <f aca="false">T14*(Q14+R14)/2/Inputs!$C$21*(1+Inputs!$C$20)</f>
        <v>1006.5</v>
      </c>
      <c r="V14" s="36" t="n">
        <f aca="false">IF(E14="40HC",ROUNDUP(C14/VLOOKUP(B14,Inputs!$A$54:$L$60,12,0),0)*VLOOKUP(D14,Inputs!$A$36:$B$38,2,TRUE()),0)</f>
        <v>0</v>
      </c>
      <c r="W14" s="36" t="n">
        <f aca="false">Inputs!$C$22</f>
        <v>1025</v>
      </c>
      <c r="X14" s="38" t="n">
        <f aca="false">I14+S14+U14+V14+W14</f>
        <v>122728.52</v>
      </c>
      <c r="Y14" s="36" t="n">
        <f aca="false">X14/C14</f>
        <v>24545.704</v>
      </c>
      <c r="Z14" s="34" t="n">
        <f aca="false">VLOOKUP(D14,Inputs!$A$66:$B$85,2,TRUE())</f>
        <v>90.96</v>
      </c>
      <c r="AA14" s="39" t="n">
        <f aca="false">Y14/Z14</f>
        <v>269.85162708883</v>
      </c>
      <c r="AB14" s="37" t="n">
        <f aca="false">SUMIFS('Data - SAP Issues'!$N$4:$N$254,'Data - SAP Issues'!$K$4:$K$254,A14)</f>
        <v>87.374595</v>
      </c>
      <c r="AC14" s="33"/>
    </row>
    <row r="15" customFormat="false" ht="15" hidden="false" customHeight="false" outlineLevel="0" collapsed="false">
      <c r="A15" s="23" t="s">
        <v>174</v>
      </c>
      <c r="B15" s="23" t="n">
        <v>2000</v>
      </c>
      <c r="C15" s="23" t="n">
        <v>5</v>
      </c>
      <c r="D15" s="27" t="n">
        <v>46100</v>
      </c>
      <c r="E15" s="20" t="str">
        <f aca="false">VLOOKUP(B15,Inputs!$A$54:$L$60,11,0)</f>
        <v>40HC</v>
      </c>
      <c r="F15" s="36" t="n">
        <f aca="false">SUMIFS('Data - SAP Issues'!$I$4:$I$254,'Data - SAP Issues'!$K$4:$K$254,A15,'Data - SAP Issues'!$M$4:$M$254,"Timber")</f>
        <v>25212.1</v>
      </c>
      <c r="G15" s="36" t="n">
        <f aca="false">SUMIFS('Data - SAP Issues'!$I$4:$I$254,'Data - SAP Issues'!$K$4:$K$254,A15)-F15</f>
        <v>23123.8</v>
      </c>
      <c r="H15" s="26" t="n">
        <v>0</v>
      </c>
      <c r="I15" s="36" t="n">
        <f aca="false">F15+G15-H15</f>
        <v>48335.9</v>
      </c>
      <c r="J15" s="37" t="n">
        <f aca="false">SUMIFS('Data - Labour'!$M$5:$M$92,'Data - Labour'!$G$5:$G$92,A15,'Data - Labour'!$B$5:$B$92,"Mistri")</f>
        <v>20</v>
      </c>
      <c r="K15" s="37" t="n">
        <f aca="false">SUMIFS('Data - Labour'!$M$5:$M$92,'Data - Labour'!$G$5:$G$92,A15,'Data - Labour'!$B$5:$B$92,"Jogali")</f>
        <v>46</v>
      </c>
      <c r="L15" s="20" t="str">
        <f aca="false">IF(J15+K15&gt;0,"Yes","No")</f>
        <v>Yes</v>
      </c>
      <c r="M15" s="37" t="n">
        <f aca="false">IF(L15="Yes",J15/C15,"")</f>
        <v>4</v>
      </c>
      <c r="N15" s="37" t="n">
        <f aca="false">IF(L15="Yes",K15/C15,"")</f>
        <v>9.2</v>
      </c>
      <c r="O15" s="37" t="n">
        <f aca="false">IF(L15="Yes",J15,AVERAGEIFS($M$5:$M$23,$B$5:$B$23,B15)*C15)</f>
        <v>20</v>
      </c>
      <c r="P15" s="37" t="n">
        <f aca="false">IF(L15="Yes",K15,AVERAGEIFS($N$5:$N$23,$B$5:$B$23,B15)*C15)</f>
        <v>46</v>
      </c>
      <c r="Q15" s="36" t="n">
        <f aca="false">VLOOKUP(D15,Inputs!$A$30:$C$32,2,TRUE())</f>
        <v>760</v>
      </c>
      <c r="R15" s="36" t="n">
        <f aca="false">VLOOKUP(D15,Inputs!$A$30:$C$32,3,TRUE())</f>
        <v>460</v>
      </c>
      <c r="S15" s="36" t="n">
        <f aca="false">(O15*Q15+P15*R15)/Inputs!$C$21*(1+Inputs!$C$20)</f>
        <v>4999.5</v>
      </c>
      <c r="T15" s="37" t="n">
        <f aca="false">SUMIFS('Data - Labour'!$N$5:$N$92,'Data - Labour'!$G$5:$G$92,A15)</f>
        <v>6</v>
      </c>
      <c r="U15" s="36" t="n">
        <f aca="false">T15*(Q15+R15)/2/Inputs!$C$21*(1+Inputs!$C$20)</f>
        <v>503.25</v>
      </c>
      <c r="V15" s="36" t="n">
        <f aca="false">IF(E15="40HC",ROUNDUP(C15/VLOOKUP(B15,Inputs!$A$54:$L$60,12,0),0)*VLOOKUP(D15,Inputs!$A$36:$B$38,2,TRUE()),0)</f>
        <v>6400</v>
      </c>
      <c r="W15" s="36" t="n">
        <f aca="false">Inputs!$C$22</f>
        <v>1025</v>
      </c>
      <c r="X15" s="38" t="n">
        <f aca="false">I15+S15+U15+V15+W15</f>
        <v>61263.65</v>
      </c>
      <c r="Y15" s="36" t="n">
        <f aca="false">X15/C15</f>
        <v>12252.73</v>
      </c>
      <c r="Z15" s="34" t="n">
        <f aca="false">VLOOKUP(D15,Inputs!$A$66:$B$85,2,TRUE())</f>
        <v>92.63</v>
      </c>
      <c r="AA15" s="39" t="n">
        <f aca="false">Y15/Z15</f>
        <v>132.276044478031</v>
      </c>
      <c r="AB15" s="37" t="n">
        <f aca="false">SUMIFS('Data - SAP Issues'!$N$4:$N$254,'Data - SAP Issues'!$K$4:$K$254,A15)</f>
        <v>35.012071875</v>
      </c>
      <c r="AC15" s="33" t="s">
        <v>170</v>
      </c>
    </row>
    <row r="16" customFormat="false" ht="15" hidden="false" customHeight="false" outlineLevel="0" collapsed="false">
      <c r="A16" s="23" t="s">
        <v>175</v>
      </c>
      <c r="B16" s="23" t="n">
        <v>1400</v>
      </c>
      <c r="C16" s="23" t="n">
        <v>3</v>
      </c>
      <c r="D16" s="27" t="n">
        <v>46107</v>
      </c>
      <c r="E16" s="20" t="str">
        <f aca="false">VLOOKUP(B16,Inputs!$A$54:$L$60,11,0)</f>
        <v>40HC</v>
      </c>
      <c r="F16" s="36" t="n">
        <f aca="false">SUMIFS('Data - SAP Issues'!$I$4:$I$254,'Data - SAP Issues'!$K$4:$K$254,A16,'Data - SAP Issues'!$M$4:$M$254,"Timber")</f>
        <v>13057.37</v>
      </c>
      <c r="G16" s="36" t="n">
        <f aca="false">SUMIFS('Data - SAP Issues'!$I$4:$I$254,'Data - SAP Issues'!$K$4:$K$254,A16)-F16</f>
        <v>16324.4</v>
      </c>
      <c r="H16" s="26" t="n">
        <v>680</v>
      </c>
      <c r="I16" s="36" t="n">
        <f aca="false">F16+G16-H16</f>
        <v>28701.77</v>
      </c>
      <c r="J16" s="37" t="n">
        <f aca="false">SUMIFS('Data - Labour'!$M$5:$M$92,'Data - Labour'!$G$5:$G$92,A16,'Data - Labour'!$B$5:$B$92,"Mistri")</f>
        <v>10.5</v>
      </c>
      <c r="K16" s="37" t="n">
        <f aca="false">SUMIFS('Data - Labour'!$M$5:$M$92,'Data - Labour'!$G$5:$G$92,A16,'Data - Labour'!$B$5:$B$92,"Jogali")</f>
        <v>26.5</v>
      </c>
      <c r="L16" s="20" t="str">
        <f aca="false">IF(J16+K16&gt;0,"Yes","No")</f>
        <v>Yes</v>
      </c>
      <c r="M16" s="37" t="n">
        <f aca="false">IF(L16="Yes",J16/C16,"")</f>
        <v>3.5</v>
      </c>
      <c r="N16" s="37" t="n">
        <f aca="false">IF(L16="Yes",K16/C16,"")</f>
        <v>8.83333333333333</v>
      </c>
      <c r="O16" s="37" t="n">
        <f aca="false">IF(L16="Yes",J16,AVERAGEIFS($M$5:$M$23,$B$5:$B$23,B16)*C16)</f>
        <v>10.5</v>
      </c>
      <c r="P16" s="37" t="n">
        <f aca="false">IF(L16="Yes",K16,AVERAGEIFS($N$5:$N$23,$B$5:$B$23,B16)*C16)</f>
        <v>26.5</v>
      </c>
      <c r="Q16" s="36" t="n">
        <f aca="false">VLOOKUP(D16,Inputs!$A$30:$C$32,2,TRUE())</f>
        <v>760</v>
      </c>
      <c r="R16" s="36" t="n">
        <f aca="false">VLOOKUP(D16,Inputs!$A$30:$C$32,3,TRUE())</f>
        <v>460</v>
      </c>
      <c r="S16" s="36" t="n">
        <f aca="false">(O16*Q16+P16*R16)/Inputs!$C$21*(1+Inputs!$C$20)</f>
        <v>2773.375</v>
      </c>
      <c r="T16" s="37" t="n">
        <f aca="false">SUMIFS('Data - Labour'!$N$5:$N$92,'Data - Labour'!$G$5:$G$92,A16)</f>
        <v>3</v>
      </c>
      <c r="U16" s="36" t="n">
        <f aca="false">T16*(Q16+R16)/2/Inputs!$C$21*(1+Inputs!$C$20)</f>
        <v>251.625</v>
      </c>
      <c r="V16" s="36" t="n">
        <f aca="false">IF(E16="40HC",ROUNDUP(C16/VLOOKUP(B16,Inputs!$A$54:$L$60,12,0),0)*VLOOKUP(D16,Inputs!$A$36:$B$38,2,TRUE()),0)</f>
        <v>3200</v>
      </c>
      <c r="W16" s="36" t="n">
        <f aca="false">Inputs!$C$22</f>
        <v>1025</v>
      </c>
      <c r="X16" s="38" t="n">
        <f aca="false">I16+S16+U16+V16+W16</f>
        <v>35951.77</v>
      </c>
      <c r="Y16" s="36" t="n">
        <f aca="false">X16/C16</f>
        <v>11983.9233333333</v>
      </c>
      <c r="Z16" s="34" t="n">
        <f aca="false">VLOOKUP(D16,Inputs!$A$66:$B$85,2,TRUE())</f>
        <v>92.63</v>
      </c>
      <c r="AA16" s="39" t="n">
        <f aca="false">Y16/Z16</f>
        <v>129.374104861636</v>
      </c>
      <c r="AB16" s="37" t="n">
        <f aca="false">SUMIFS('Data - SAP Issues'!$N$4:$N$254,'Data - SAP Issues'!$K$4:$K$254,A16)</f>
        <v>17.59762125</v>
      </c>
      <c r="AC16" s="33" t="s">
        <v>176</v>
      </c>
    </row>
    <row r="17" customFormat="false" ht="15" hidden="false" customHeight="false" outlineLevel="0" collapsed="false">
      <c r="A17" s="23" t="s">
        <v>177</v>
      </c>
      <c r="B17" s="23" t="n">
        <v>1800</v>
      </c>
      <c r="C17" s="23" t="n">
        <v>3</v>
      </c>
      <c r="D17" s="27" t="n">
        <v>46121</v>
      </c>
      <c r="E17" s="20" t="str">
        <f aca="false">VLOOKUP(B17,Inputs!$A$54:$L$60,11,0)</f>
        <v>40HC</v>
      </c>
      <c r="F17" s="36" t="n">
        <f aca="false">SUMIFS('Data - SAP Issues'!$I$4:$I$254,'Data - SAP Issues'!$K$4:$K$254,A17,'Data - SAP Issues'!$M$4:$M$254,"Timber")</f>
        <v>17332.95</v>
      </c>
      <c r="G17" s="36" t="n">
        <f aca="false">SUMIFS('Data - SAP Issues'!$I$4:$I$254,'Data - SAP Issues'!$K$4:$K$254,A17)-F17</f>
        <v>16857</v>
      </c>
      <c r="H17" s="26" t="n">
        <v>0</v>
      </c>
      <c r="I17" s="36" t="n">
        <f aca="false">F17+G17-H17</f>
        <v>34189.95</v>
      </c>
      <c r="J17" s="37" t="n">
        <f aca="false">SUMIFS('Data - Labour'!$M$5:$M$92,'Data - Labour'!$G$5:$G$92,A17,'Data - Labour'!$B$5:$B$92,"Mistri")</f>
        <v>12</v>
      </c>
      <c r="K17" s="37" t="n">
        <f aca="false">SUMIFS('Data - Labour'!$M$5:$M$92,'Data - Labour'!$G$5:$G$92,A17,'Data - Labour'!$B$5:$B$92,"Jogali")</f>
        <v>30</v>
      </c>
      <c r="L17" s="20" t="str">
        <f aca="false">IF(J17+K17&gt;0,"Yes","No")</f>
        <v>Yes</v>
      </c>
      <c r="M17" s="37" t="n">
        <f aca="false">IF(L17="Yes",J17/C17,"")</f>
        <v>4</v>
      </c>
      <c r="N17" s="37" t="n">
        <f aca="false">IF(L17="Yes",K17/C17,"")</f>
        <v>10</v>
      </c>
      <c r="O17" s="37" t="n">
        <f aca="false">IF(L17="Yes",J17,AVERAGEIFS($M$5:$M$23,$B$5:$B$23,B17)*C17)</f>
        <v>12</v>
      </c>
      <c r="P17" s="37" t="n">
        <f aca="false">IF(L17="Yes",K17,AVERAGEIFS($N$5:$N$23,$B$5:$B$23,B17)*C17)</f>
        <v>30</v>
      </c>
      <c r="Q17" s="36" t="n">
        <f aca="false">VLOOKUP(D17,Inputs!$A$30:$C$32,2,TRUE())</f>
        <v>800</v>
      </c>
      <c r="R17" s="36" t="n">
        <f aca="false">VLOOKUP(D17,Inputs!$A$30:$C$32,3,TRUE())</f>
        <v>460</v>
      </c>
      <c r="S17" s="36" t="n">
        <f aca="false">(O17*Q17+P17*R17)/Inputs!$C$21*(1+Inputs!$C$20)</f>
        <v>3217.5</v>
      </c>
      <c r="T17" s="37" t="n">
        <f aca="false">SUMIFS('Data - Labour'!$N$5:$N$92,'Data - Labour'!$G$5:$G$92,A17)</f>
        <v>2</v>
      </c>
      <c r="U17" s="36" t="n">
        <f aca="false">T17*(Q17+R17)/2/Inputs!$C$21*(1+Inputs!$C$20)</f>
        <v>173.25</v>
      </c>
      <c r="V17" s="36" t="n">
        <f aca="false">IF(E17="40HC",ROUNDUP(C17/VLOOKUP(B17,Inputs!$A$54:$L$60,12,0),0)*VLOOKUP(D17,Inputs!$A$36:$B$38,2,TRUE()),0)</f>
        <v>3200</v>
      </c>
      <c r="W17" s="36" t="n">
        <f aca="false">Inputs!$C$22</f>
        <v>1025</v>
      </c>
      <c r="X17" s="38" t="n">
        <f aca="false">I17+S17+U17+V17+W17</f>
        <v>41805.7</v>
      </c>
      <c r="Y17" s="36" t="n">
        <f aca="false">X17/C17</f>
        <v>13935.2333333333</v>
      </c>
      <c r="Z17" s="34" t="n">
        <f aca="false">VLOOKUP(D17,Inputs!$A$66:$B$85,2,TRUE())</f>
        <v>92.63</v>
      </c>
      <c r="AA17" s="39" t="n">
        <f aca="false">Y17/Z17</f>
        <v>150.439742344093</v>
      </c>
      <c r="AB17" s="37" t="n">
        <f aca="false">SUMIFS('Data - SAP Issues'!$N$4:$N$254,'Data - SAP Issues'!$K$4:$K$254,A17)</f>
        <v>23.359771875</v>
      </c>
      <c r="AC17" s="33"/>
    </row>
    <row r="18" customFormat="false" ht="15" hidden="false" customHeight="false" outlineLevel="0" collapsed="false">
      <c r="A18" s="23" t="s">
        <v>178</v>
      </c>
      <c r="B18" s="23" t="n">
        <v>3000</v>
      </c>
      <c r="C18" s="23" t="n">
        <v>3</v>
      </c>
      <c r="D18" s="27" t="n">
        <v>46129</v>
      </c>
      <c r="E18" s="20" t="str">
        <f aca="false">VLOOKUP(B18,Inputs!$A$54:$L$60,11,0)</f>
        <v>Flat rack</v>
      </c>
      <c r="F18" s="36" t="n">
        <f aca="false">SUMIFS('Data - SAP Issues'!$I$4:$I$254,'Data - SAP Issues'!$K$4:$K$254,A18,'Data - SAP Issues'!$M$4:$M$254,"Timber")</f>
        <v>36922.31</v>
      </c>
      <c r="G18" s="36" t="n">
        <f aca="false">SUMIFS('Data - SAP Issues'!$I$4:$I$254,'Data - SAP Issues'!$K$4:$K$254,A18)-F18</f>
        <v>46991.8</v>
      </c>
      <c r="H18" s="26" t="n">
        <v>0</v>
      </c>
      <c r="I18" s="36" t="n">
        <f aca="false">F18+G18-H18</f>
        <v>83914.11</v>
      </c>
      <c r="J18" s="37" t="n">
        <f aca="false">SUMIFS('Data - Labour'!$M$5:$M$92,'Data - Labour'!$G$5:$G$92,A18,'Data - Labour'!$B$5:$B$92,"Mistri")</f>
        <v>32</v>
      </c>
      <c r="K18" s="37" t="n">
        <f aca="false">SUMIFS('Data - Labour'!$M$5:$M$92,'Data - Labour'!$G$5:$G$92,A18,'Data - Labour'!$B$5:$B$92,"Jogali")</f>
        <v>72</v>
      </c>
      <c r="L18" s="20" t="str">
        <f aca="false">IF(J18+K18&gt;0,"Yes","No")</f>
        <v>Yes</v>
      </c>
      <c r="M18" s="37" t="n">
        <f aca="false">IF(L18="Yes",J18/C18,"")</f>
        <v>10.6666666666667</v>
      </c>
      <c r="N18" s="37" t="n">
        <f aca="false">IF(L18="Yes",K18/C18,"")</f>
        <v>24</v>
      </c>
      <c r="O18" s="37" t="n">
        <f aca="false">IF(L18="Yes",J18,AVERAGEIFS($M$5:$M$23,$B$5:$B$23,B18)*C18)</f>
        <v>32</v>
      </c>
      <c r="P18" s="37" t="n">
        <f aca="false">IF(L18="Yes",K18,AVERAGEIFS($N$5:$N$23,$B$5:$B$23,B18)*C18)</f>
        <v>72</v>
      </c>
      <c r="Q18" s="36" t="n">
        <f aca="false">VLOOKUP(D18,Inputs!$A$30:$C$32,2,TRUE())</f>
        <v>800</v>
      </c>
      <c r="R18" s="36" t="n">
        <f aca="false">VLOOKUP(D18,Inputs!$A$30:$C$32,3,TRUE())</f>
        <v>460</v>
      </c>
      <c r="S18" s="36" t="n">
        <f aca="false">(O18*Q18+P18*R18)/Inputs!$C$21*(1+Inputs!$C$20)</f>
        <v>8074</v>
      </c>
      <c r="T18" s="37" t="n">
        <f aca="false">SUMIFS('Data - Labour'!$N$5:$N$92,'Data - Labour'!$G$5:$G$92,A18)</f>
        <v>9.5</v>
      </c>
      <c r="U18" s="36" t="n">
        <f aca="false">T18*(Q18+R18)/2/Inputs!$C$21*(1+Inputs!$C$20)</f>
        <v>822.9375</v>
      </c>
      <c r="V18" s="36" t="n">
        <f aca="false">IF(E18="40HC",ROUNDUP(C18/VLOOKUP(B18,Inputs!$A$54:$L$60,12,0),0)*VLOOKUP(D18,Inputs!$A$36:$B$38,2,TRUE()),0)</f>
        <v>0</v>
      </c>
      <c r="W18" s="36" t="n">
        <f aca="false">Inputs!$C$22</f>
        <v>1025</v>
      </c>
      <c r="X18" s="38" t="n">
        <f aca="false">I18+S18+U18+V18+W18</f>
        <v>93836.0475</v>
      </c>
      <c r="Y18" s="36" t="n">
        <f aca="false">X18/C18</f>
        <v>31278.6825</v>
      </c>
      <c r="Z18" s="34" t="n">
        <f aca="false">VLOOKUP(D18,Inputs!$A$66:$B$85,2,TRUE())</f>
        <v>93.54</v>
      </c>
      <c r="AA18" s="39" t="n">
        <f aca="false">Y18/Z18</f>
        <v>334.388309813983</v>
      </c>
      <c r="AB18" s="37" t="n">
        <f aca="false">SUMIFS('Data - SAP Issues'!$N$4:$N$254,'Data - SAP Issues'!$K$4:$K$254,A18)</f>
        <v>50.288060625</v>
      </c>
      <c r="AC18" s="33" t="s">
        <v>179</v>
      </c>
    </row>
    <row r="19" customFormat="false" ht="15" hidden="false" customHeight="false" outlineLevel="0" collapsed="false">
      <c r="A19" s="23" t="s">
        <v>180</v>
      </c>
      <c r="B19" s="23" t="n">
        <v>2600</v>
      </c>
      <c r="C19" s="23" t="n">
        <v>4</v>
      </c>
      <c r="D19" s="27" t="n">
        <v>46135</v>
      </c>
      <c r="E19" s="20" t="str">
        <f aca="false">VLOOKUP(B19,Inputs!$A$54:$L$60,11,0)</f>
        <v>Flat rack</v>
      </c>
      <c r="F19" s="36" t="n">
        <f aca="false">SUMIFS('Data - SAP Issues'!$I$4:$I$254,'Data - SAP Issues'!$K$4:$K$254,A19,'Data - SAP Issues'!$M$4:$M$254,"Timber")</f>
        <v>53105.65</v>
      </c>
      <c r="G19" s="36" t="n">
        <f aca="false">SUMIFS('Data - SAP Issues'!$I$4:$I$254,'Data - SAP Issues'!$K$4:$K$254,A19)-F19</f>
        <v>50509.4</v>
      </c>
      <c r="H19" s="26" t="n">
        <v>0</v>
      </c>
      <c r="I19" s="36" t="n">
        <f aca="false">F19+G19-H19</f>
        <v>103615.05</v>
      </c>
      <c r="J19" s="37" t="n">
        <f aca="false">SUMIFS('Data - Labour'!$M$5:$M$92,'Data - Labour'!$G$5:$G$92,A19,'Data - Labour'!$B$5:$B$92,"Mistri")</f>
        <v>31</v>
      </c>
      <c r="K19" s="37" t="n">
        <f aca="false">SUMIFS('Data - Labour'!$M$5:$M$92,'Data - Labour'!$G$5:$G$92,A19,'Data - Labour'!$B$5:$B$92,"Jogali")</f>
        <v>69.5</v>
      </c>
      <c r="L19" s="20" t="str">
        <f aca="false">IF(J19+K19&gt;0,"Yes","No")</f>
        <v>Yes</v>
      </c>
      <c r="M19" s="37" t="n">
        <f aca="false">IF(L19="Yes",J19/C19,"")</f>
        <v>7.75</v>
      </c>
      <c r="N19" s="37" t="n">
        <f aca="false">IF(L19="Yes",K19/C19,"")</f>
        <v>17.375</v>
      </c>
      <c r="O19" s="37" t="n">
        <f aca="false">IF(L19="Yes",J19,AVERAGEIFS($M$5:$M$23,$B$5:$B$23,B19)*C19)</f>
        <v>31</v>
      </c>
      <c r="P19" s="37" t="n">
        <f aca="false">IF(L19="Yes",K19,AVERAGEIFS($N$5:$N$23,$B$5:$B$23,B19)*C19)</f>
        <v>69.5</v>
      </c>
      <c r="Q19" s="36" t="n">
        <f aca="false">VLOOKUP(D19,Inputs!$A$30:$C$32,2,TRUE())</f>
        <v>800</v>
      </c>
      <c r="R19" s="36" t="n">
        <f aca="false">VLOOKUP(D19,Inputs!$A$30:$C$32,3,TRUE())</f>
        <v>460</v>
      </c>
      <c r="S19" s="36" t="n">
        <f aca="false">(O19*Q19+P19*R19)/Inputs!$C$21*(1+Inputs!$C$20)</f>
        <v>7805.875</v>
      </c>
      <c r="T19" s="37" t="n">
        <f aca="false">SUMIFS('Data - Labour'!$N$5:$N$92,'Data - Labour'!$G$5:$G$92,A19)</f>
        <v>7.5</v>
      </c>
      <c r="U19" s="36" t="n">
        <f aca="false">T19*(Q19+R19)/2/Inputs!$C$21*(1+Inputs!$C$20)</f>
        <v>649.6875</v>
      </c>
      <c r="V19" s="36" t="n">
        <f aca="false">IF(E19="40HC",ROUNDUP(C19/VLOOKUP(B19,Inputs!$A$54:$L$60,12,0),0)*VLOOKUP(D19,Inputs!$A$36:$B$38,2,TRUE()),0)</f>
        <v>0</v>
      </c>
      <c r="W19" s="36" t="n">
        <f aca="false">Inputs!$C$22</f>
        <v>1025</v>
      </c>
      <c r="X19" s="38" t="n">
        <f aca="false">I19+S19+U19+V19+W19</f>
        <v>113095.6125</v>
      </c>
      <c r="Y19" s="36" t="n">
        <f aca="false">X19/C19</f>
        <v>28273.903125</v>
      </c>
      <c r="Z19" s="34" t="n">
        <f aca="false">VLOOKUP(D19,Inputs!$A$66:$B$85,2,TRUE())</f>
        <v>93.16</v>
      </c>
      <c r="AA19" s="39" t="n">
        <f aca="false">Y19/Z19</f>
        <v>303.498316069128</v>
      </c>
      <c r="AB19" s="37" t="n">
        <f aca="false">SUMIFS('Data - SAP Issues'!$N$4:$N$254,'Data - SAP Issues'!$K$4:$K$254,A19)</f>
        <v>71.571163125</v>
      </c>
      <c r="AC19" s="33"/>
    </row>
    <row r="20" customFormat="false" ht="15" hidden="false" customHeight="false" outlineLevel="0" collapsed="false">
      <c r="A20" s="23" t="s">
        <v>181</v>
      </c>
      <c r="B20" s="23" t="n">
        <v>2400</v>
      </c>
      <c r="C20" s="23" t="n">
        <v>3</v>
      </c>
      <c r="D20" s="27" t="n">
        <v>46156</v>
      </c>
      <c r="E20" s="20" t="str">
        <f aca="false">VLOOKUP(B20,Inputs!$A$54:$L$60,11,0)</f>
        <v>Flat rack</v>
      </c>
      <c r="F20" s="36" t="n">
        <f aca="false">SUMIFS('Data - SAP Issues'!$I$4:$I$254,'Data - SAP Issues'!$K$4:$K$254,A20,'Data - SAP Issues'!$M$4:$M$254,"Timber")</f>
        <v>30942.14</v>
      </c>
      <c r="G20" s="36" t="n">
        <f aca="false">SUMIFS('Data - SAP Issues'!$I$4:$I$254,'Data - SAP Issues'!$K$4:$K$254,A20)-F20</f>
        <v>34937.8</v>
      </c>
      <c r="H20" s="26" t="n">
        <v>0</v>
      </c>
      <c r="I20" s="36" t="n">
        <f aca="false">F20+G20-H20</f>
        <v>65879.94</v>
      </c>
      <c r="J20" s="37" t="n">
        <f aca="false">SUMIFS('Data - Labour'!$M$5:$M$92,'Data - Labour'!$G$5:$G$92,A20,'Data - Labour'!$B$5:$B$92,"Mistri")</f>
        <v>31</v>
      </c>
      <c r="K20" s="37" t="n">
        <f aca="false">SUMIFS('Data - Labour'!$M$5:$M$92,'Data - Labour'!$G$5:$G$92,A20,'Data - Labour'!$B$5:$B$92,"Jogali")</f>
        <v>58.5</v>
      </c>
      <c r="L20" s="20" t="str">
        <f aca="false">IF(J20+K20&gt;0,"Yes","No")</f>
        <v>Yes</v>
      </c>
      <c r="M20" s="37" t="n">
        <f aca="false">IF(L20="Yes",J20/C20,"")</f>
        <v>10.3333333333333</v>
      </c>
      <c r="N20" s="37" t="n">
        <f aca="false">IF(L20="Yes",K20/C20,"")</f>
        <v>19.5</v>
      </c>
      <c r="O20" s="37" t="n">
        <f aca="false">IF(L20="Yes",J20,AVERAGEIFS($M$5:$M$23,$B$5:$B$23,B20)*C20)</f>
        <v>31</v>
      </c>
      <c r="P20" s="37" t="n">
        <f aca="false">IF(L20="Yes",K20,AVERAGEIFS($N$5:$N$23,$B$5:$B$23,B20)*C20)</f>
        <v>58.5</v>
      </c>
      <c r="Q20" s="36" t="n">
        <f aca="false">VLOOKUP(D20,Inputs!$A$30:$C$32,2,TRUE())</f>
        <v>800</v>
      </c>
      <c r="R20" s="36" t="n">
        <f aca="false">VLOOKUP(D20,Inputs!$A$30:$C$32,3,TRUE())</f>
        <v>460</v>
      </c>
      <c r="S20" s="36" t="n">
        <f aca="false">(O20*Q20+P20*R20)/Inputs!$C$21*(1+Inputs!$C$20)</f>
        <v>7110.125</v>
      </c>
      <c r="T20" s="37" t="n">
        <f aca="false">SUMIFS('Data - Labour'!$N$5:$N$92,'Data - Labour'!$G$5:$G$92,A20)</f>
        <v>8.5</v>
      </c>
      <c r="U20" s="36" t="n">
        <f aca="false">T20*(Q20+R20)/2/Inputs!$C$21*(1+Inputs!$C$20)</f>
        <v>736.3125</v>
      </c>
      <c r="V20" s="36" t="n">
        <f aca="false">IF(E20="40HC",ROUNDUP(C20/VLOOKUP(B20,Inputs!$A$54:$L$60,12,0),0)*VLOOKUP(D20,Inputs!$A$36:$B$38,2,TRUE()),0)</f>
        <v>0</v>
      </c>
      <c r="W20" s="36" t="n">
        <f aca="false">Inputs!$C$22</f>
        <v>1025</v>
      </c>
      <c r="X20" s="38" t="n">
        <f aca="false">I20+S20+U20+V20+W20</f>
        <v>74751.3775</v>
      </c>
      <c r="Y20" s="36" t="n">
        <f aca="false">X20/C20</f>
        <v>24917.1258333333</v>
      </c>
      <c r="Z20" s="34" t="n">
        <f aca="false">VLOOKUP(D20,Inputs!$A$66:$B$85,2,TRUE())</f>
        <v>95.11</v>
      </c>
      <c r="AA20" s="39" t="n">
        <f aca="false">Y20/Z20</f>
        <v>261.982187291908</v>
      </c>
      <c r="AB20" s="37" t="n">
        <f aca="false">SUMIFS('Data - SAP Issues'!$N$4:$N$254,'Data - SAP Issues'!$K$4:$K$254,A20)</f>
        <v>41.70111</v>
      </c>
      <c r="AC20" s="33"/>
    </row>
    <row r="21" customFormat="false" ht="15" hidden="false" customHeight="false" outlineLevel="0" collapsed="false">
      <c r="A21" s="23" t="s">
        <v>182</v>
      </c>
      <c r="B21" s="23" t="n">
        <v>1600</v>
      </c>
      <c r="C21" s="23" t="n">
        <v>1</v>
      </c>
      <c r="D21" s="27" t="n">
        <v>46177</v>
      </c>
      <c r="E21" s="20" t="str">
        <f aca="false">VLOOKUP(B21,Inputs!$A$54:$L$60,11,0)</f>
        <v>40HC</v>
      </c>
      <c r="F21" s="36" t="n">
        <f aca="false">SUMIFS('Data - SAP Issues'!$I$4:$I$254,'Data - SAP Issues'!$K$4:$K$254,A21,'Data - SAP Issues'!$M$4:$M$254,"Timber")</f>
        <v>5747.64</v>
      </c>
      <c r="G21" s="36" t="n">
        <f aca="false">SUMIFS('Data - SAP Issues'!$I$4:$I$254,'Data - SAP Issues'!$K$4:$K$254,A21)-F21</f>
        <v>7262.4</v>
      </c>
      <c r="H21" s="26" t="n">
        <v>0</v>
      </c>
      <c r="I21" s="36" t="n">
        <f aca="false">F21+G21-H21</f>
        <v>13010.04</v>
      </c>
      <c r="J21" s="37" t="n">
        <f aca="false">SUMIFS('Data - Labour'!$M$5:$M$92,'Data - Labour'!$G$5:$G$92,A21,'Data - Labour'!$B$5:$B$92,"Mistri")</f>
        <v>5</v>
      </c>
      <c r="K21" s="37" t="n">
        <f aca="false">SUMIFS('Data - Labour'!$M$5:$M$92,'Data - Labour'!$G$5:$G$92,A21,'Data - Labour'!$B$5:$B$92,"Jogali")</f>
        <v>10</v>
      </c>
      <c r="L21" s="20" t="str">
        <f aca="false">IF(J21+K21&gt;0,"Yes","No")</f>
        <v>Yes</v>
      </c>
      <c r="M21" s="37" t="n">
        <f aca="false">IF(L21="Yes",J21/C21,"")</f>
        <v>5</v>
      </c>
      <c r="N21" s="37" t="n">
        <f aca="false">IF(L21="Yes",K21/C21,"")</f>
        <v>10</v>
      </c>
      <c r="O21" s="37" t="n">
        <f aca="false">IF(L21="Yes",J21,AVERAGEIFS($M$5:$M$23,$B$5:$B$23,B21)*C21)</f>
        <v>5</v>
      </c>
      <c r="P21" s="37" t="n">
        <f aca="false">IF(L21="Yes",K21,AVERAGEIFS($N$5:$N$23,$B$5:$B$23,B21)*C21)</f>
        <v>10</v>
      </c>
      <c r="Q21" s="36" t="n">
        <f aca="false">VLOOKUP(D21,Inputs!$A$30:$C$32,2,TRUE())</f>
        <v>800</v>
      </c>
      <c r="R21" s="36" t="n">
        <f aca="false">VLOOKUP(D21,Inputs!$A$30:$C$32,3,TRUE())</f>
        <v>460</v>
      </c>
      <c r="S21" s="36" t="n">
        <f aca="false">(O21*Q21+P21*R21)/Inputs!$C$21*(1+Inputs!$C$20)</f>
        <v>1182.5</v>
      </c>
      <c r="T21" s="37" t="n">
        <f aca="false">SUMIFS('Data - Labour'!$N$5:$N$92,'Data - Labour'!$G$5:$G$92,A21)</f>
        <v>0</v>
      </c>
      <c r="U21" s="36" t="n">
        <f aca="false">T21*(Q21+R21)/2/Inputs!$C$21*(1+Inputs!$C$20)</f>
        <v>0</v>
      </c>
      <c r="V21" s="36" t="n">
        <f aca="false">IF(E21="40HC",ROUNDUP(C21/VLOOKUP(B21,Inputs!$A$54:$L$60,12,0),0)*VLOOKUP(D21,Inputs!$A$36:$B$38,2,TRUE()),0)</f>
        <v>3200</v>
      </c>
      <c r="W21" s="36" t="n">
        <f aca="false">Inputs!$C$22</f>
        <v>1025</v>
      </c>
      <c r="X21" s="38" t="n">
        <f aca="false">I21+S21+U21+V21+W21</f>
        <v>18417.54</v>
      </c>
      <c r="Y21" s="36" t="n">
        <f aca="false">X21/C21</f>
        <v>18417.54</v>
      </c>
      <c r="Z21" s="34" t="n">
        <f aca="false">VLOOKUP(D21,Inputs!$A$66:$B$85,2,TRUE())</f>
        <v>96.18</v>
      </c>
      <c r="AA21" s="39" t="n">
        <f aca="false">Y21/Z21</f>
        <v>191.490330630069</v>
      </c>
      <c r="AB21" s="37" t="n">
        <f aca="false">SUMIFS('Data - SAP Issues'!$N$4:$N$254,'Data - SAP Issues'!$K$4:$K$254,A21)</f>
        <v>7.74613125</v>
      </c>
      <c r="AC21" s="33" t="s">
        <v>183</v>
      </c>
    </row>
    <row r="22" customFormat="false" ht="15" hidden="false" customHeight="false" outlineLevel="0" collapsed="false">
      <c r="A22" s="23" t="s">
        <v>184</v>
      </c>
      <c r="B22" s="23" t="n">
        <v>2600</v>
      </c>
      <c r="C22" s="23" t="n">
        <v>3</v>
      </c>
      <c r="D22" s="27" t="n">
        <v>46191</v>
      </c>
      <c r="E22" s="20" t="str">
        <f aca="false">VLOOKUP(B22,Inputs!$A$54:$L$60,11,0)</f>
        <v>Flat rack</v>
      </c>
      <c r="F22" s="36" t="n">
        <f aca="false">SUMIFS('Data - SAP Issues'!$I$4:$I$254,'Data - SAP Issues'!$K$4:$K$254,A22,'Data - SAP Issues'!$M$4:$M$254,"Timber")</f>
        <v>36018.81</v>
      </c>
      <c r="G22" s="36" t="n">
        <f aca="false">SUMIFS('Data - SAP Issues'!$I$4:$I$254,'Data - SAP Issues'!$K$4:$K$254,A22)-F22</f>
        <v>41721</v>
      </c>
      <c r="H22" s="26" t="n">
        <v>0</v>
      </c>
      <c r="I22" s="36" t="n">
        <f aca="false">F22+G22-H22</f>
        <v>77739.81</v>
      </c>
      <c r="J22" s="37" t="n">
        <f aca="false">SUMIFS('Data - Labour'!$M$5:$M$92,'Data - Labour'!$G$5:$G$92,A22,'Data - Labour'!$B$5:$B$92,"Mistri")</f>
        <v>30</v>
      </c>
      <c r="K22" s="37" t="n">
        <f aca="false">SUMIFS('Data - Labour'!$M$5:$M$92,'Data - Labour'!$G$5:$G$92,A22,'Data - Labour'!$B$5:$B$92,"Jogali")</f>
        <v>71</v>
      </c>
      <c r="L22" s="20" t="str">
        <f aca="false">IF(J22+K22&gt;0,"Yes","No")</f>
        <v>Yes</v>
      </c>
      <c r="M22" s="37" t="n">
        <f aca="false">IF(L22="Yes",J22/C22,"")</f>
        <v>10</v>
      </c>
      <c r="N22" s="37" t="n">
        <f aca="false">IF(L22="Yes",K22/C22,"")</f>
        <v>23.6666666666667</v>
      </c>
      <c r="O22" s="37" t="n">
        <f aca="false">IF(L22="Yes",J22,AVERAGEIFS($M$5:$M$23,$B$5:$B$23,B22)*C22)</f>
        <v>30</v>
      </c>
      <c r="P22" s="37" t="n">
        <f aca="false">IF(L22="Yes",K22,AVERAGEIFS($N$5:$N$23,$B$5:$B$23,B22)*C22)</f>
        <v>71</v>
      </c>
      <c r="Q22" s="36" t="n">
        <f aca="false">VLOOKUP(D22,Inputs!$A$30:$C$32,2,TRUE())</f>
        <v>800</v>
      </c>
      <c r="R22" s="36" t="n">
        <f aca="false">VLOOKUP(D22,Inputs!$A$30:$C$32,3,TRUE())</f>
        <v>460</v>
      </c>
      <c r="S22" s="36" t="n">
        <f aca="false">(O22*Q22+P22*R22)/Inputs!$C$21*(1+Inputs!$C$20)</f>
        <v>7790.75</v>
      </c>
      <c r="T22" s="37" t="n">
        <f aca="false">SUMIFS('Data - Labour'!$N$5:$N$92,'Data - Labour'!$G$5:$G$92,A22)</f>
        <v>10.5</v>
      </c>
      <c r="U22" s="36" t="n">
        <f aca="false">T22*(Q22+R22)/2/Inputs!$C$21*(1+Inputs!$C$20)</f>
        <v>909.5625</v>
      </c>
      <c r="V22" s="36" t="n">
        <f aca="false">IF(E22="40HC",ROUNDUP(C22/VLOOKUP(B22,Inputs!$A$54:$L$60,12,0),0)*VLOOKUP(D22,Inputs!$A$36:$B$38,2,TRUE()),0)</f>
        <v>0</v>
      </c>
      <c r="W22" s="36" t="n">
        <f aca="false">Inputs!$C$22</f>
        <v>1025</v>
      </c>
      <c r="X22" s="38" t="n">
        <f aca="false">I22+S22+U22+V22+W22</f>
        <v>87465.1225</v>
      </c>
      <c r="Y22" s="36" t="n">
        <f aca="false">X22/C22</f>
        <v>29155.0408333333</v>
      </c>
      <c r="Z22" s="34" t="n">
        <f aca="false">VLOOKUP(D22,Inputs!$A$66:$B$85,2,TRUE())</f>
        <v>96.18</v>
      </c>
      <c r="AA22" s="39" t="n">
        <f aca="false">Y22/Z22</f>
        <v>303.129973313925</v>
      </c>
      <c r="AB22" s="37" t="n">
        <f aca="false">SUMIFS('Data - SAP Issues'!$N$4:$N$254,'Data - SAP Issues'!$K$4:$K$254,A22)</f>
        <v>47.0770575</v>
      </c>
      <c r="AC22" s="33"/>
    </row>
    <row r="23" customFormat="false" ht="15" hidden="false" customHeight="false" outlineLevel="0" collapsed="false">
      <c r="A23" s="23" t="s">
        <v>185</v>
      </c>
      <c r="B23" s="23" t="n">
        <v>2000</v>
      </c>
      <c r="C23" s="23" t="n">
        <v>6</v>
      </c>
      <c r="D23" s="27" t="n">
        <v>46226</v>
      </c>
      <c r="E23" s="20" t="str">
        <f aca="false">VLOOKUP(B23,Inputs!$A$54:$L$60,11,0)</f>
        <v>40HC</v>
      </c>
      <c r="F23" s="36" t="n">
        <f aca="false">SUMIFS('Data - SAP Issues'!$I$4:$I$254,'Data - SAP Issues'!$K$4:$K$254,A23,'Data - SAP Issues'!$M$4:$M$254,"Timber")</f>
        <v>31436.16</v>
      </c>
      <c r="G23" s="36" t="n">
        <f aca="false">SUMIFS('Data - SAP Issues'!$I$4:$I$254,'Data - SAP Issues'!$K$4:$K$254,A23)-F23</f>
        <v>25593.2</v>
      </c>
      <c r="H23" s="26" t="n">
        <v>0</v>
      </c>
      <c r="I23" s="36" t="n">
        <f aca="false">F23+G23-H23</f>
        <v>57029.36</v>
      </c>
      <c r="J23" s="37" t="n">
        <f aca="false">SUMIFS('Data - Labour'!$M$5:$M$92,'Data - Labour'!$G$5:$G$92,A23,'Data - Labour'!$B$5:$B$92,"Mistri")</f>
        <v>21</v>
      </c>
      <c r="K23" s="37" t="n">
        <f aca="false">SUMIFS('Data - Labour'!$M$5:$M$92,'Data - Labour'!$G$5:$G$92,A23,'Data - Labour'!$B$5:$B$92,"Jogali")</f>
        <v>59</v>
      </c>
      <c r="L23" s="20" t="str">
        <f aca="false">IF(J23+K23&gt;0,"Yes","No")</f>
        <v>Yes</v>
      </c>
      <c r="M23" s="37" t="n">
        <f aca="false">IF(L23="Yes",J23/C23,"")</f>
        <v>3.5</v>
      </c>
      <c r="N23" s="37" t="n">
        <f aca="false">IF(L23="Yes",K23/C23,"")</f>
        <v>9.83333333333333</v>
      </c>
      <c r="O23" s="37" t="n">
        <f aca="false">IF(L23="Yes",J23,AVERAGEIFS($M$5:$M$23,$B$5:$B$23,B23)*C23)</f>
        <v>21</v>
      </c>
      <c r="P23" s="37" t="n">
        <f aca="false">IF(L23="Yes",K23,AVERAGEIFS($N$5:$N$23,$B$5:$B$23,B23)*C23)</f>
        <v>59</v>
      </c>
      <c r="Q23" s="36" t="n">
        <f aca="false">VLOOKUP(D23,Inputs!$A$30:$C$32,2,TRUE())</f>
        <v>800</v>
      </c>
      <c r="R23" s="36" t="n">
        <f aca="false">VLOOKUP(D23,Inputs!$A$30:$C$32,3,TRUE())</f>
        <v>480</v>
      </c>
      <c r="S23" s="36" t="n">
        <f aca="false">(O23*Q23+P23*R23)/Inputs!$C$21*(1+Inputs!$C$20)</f>
        <v>6204</v>
      </c>
      <c r="T23" s="37" t="n">
        <f aca="false">SUMIFS('Data - Labour'!$N$5:$N$92,'Data - Labour'!$G$5:$G$92,A23)</f>
        <v>7.5</v>
      </c>
      <c r="U23" s="36" t="n">
        <f aca="false">T23*(Q23+R23)/2/Inputs!$C$21*(1+Inputs!$C$20)</f>
        <v>660</v>
      </c>
      <c r="V23" s="36" t="n">
        <f aca="false">IF(E23="40HC",ROUNDUP(C23/VLOOKUP(B23,Inputs!$A$54:$L$60,12,0),0)*VLOOKUP(D23,Inputs!$A$36:$B$38,2,TRUE()),0)</f>
        <v>7000</v>
      </c>
      <c r="W23" s="36" t="n">
        <f aca="false">Inputs!$C$22</f>
        <v>1025</v>
      </c>
      <c r="X23" s="38" t="n">
        <f aca="false">I23+S23+U23+V23+W23</f>
        <v>71918.36</v>
      </c>
      <c r="Y23" s="36" t="n">
        <f aca="false">X23/C23</f>
        <v>11986.3933333333</v>
      </c>
      <c r="Z23" s="34" t="n">
        <f aca="false">VLOOKUP(D23,Inputs!$A$66:$B$85,2,TRUE())</f>
        <v>95.38</v>
      </c>
      <c r="AA23" s="39" t="n">
        <f aca="false">Y23/Z23</f>
        <v>125.669881876005</v>
      </c>
      <c r="AB23" s="37" t="n">
        <f aca="false">SUMIFS('Data - SAP Issues'!$N$4:$N$254,'Data - SAP Issues'!$K$4:$K$254,A23)</f>
        <v>41.08759875</v>
      </c>
      <c r="AC23" s="33" t="s">
        <v>170</v>
      </c>
    </row>
    <row r="25" customFormat="false" ht="15" hidden="false" customHeight="false" outlineLevel="0" collapsed="false">
      <c r="A25" s="40" t="s">
        <v>186</v>
      </c>
      <c r="C25" s="41" t="n">
        <f aca="false">SUM(C5:C23)</f>
        <v>60</v>
      </c>
      <c r="F25" s="38" t="n">
        <f aca="false">SUM(F5:F23)</f>
        <v>507035.87</v>
      </c>
      <c r="G25" s="38" t="n">
        <f aca="false">SUM(G5:G23)</f>
        <v>501051</v>
      </c>
      <c r="H25" s="38" t="n">
        <f aca="false">SUM(H5:H23)</f>
        <v>1808.8</v>
      </c>
      <c r="I25" s="38" t="n">
        <f aca="false">SUM(I5:I23)</f>
        <v>1006278.07</v>
      </c>
      <c r="S25" s="38" t="n">
        <f aca="false">SUM(S5:S23)</f>
        <v>98191.3052083334</v>
      </c>
      <c r="U25" s="38" t="n">
        <f aca="false">SUM(U5:U23)</f>
        <v>5797</v>
      </c>
      <c r="V25" s="38" t="n">
        <f aca="false">SUM(V5:V23)</f>
        <v>41400</v>
      </c>
      <c r="W25" s="38" t="n">
        <f aca="false">SUM(W5:W23)</f>
        <v>19475</v>
      </c>
      <c r="X25" s="38" t="n">
        <f aca="false">SUM(X5:X23)</f>
        <v>1171141.37520833</v>
      </c>
      <c r="Y25" s="38" t="n">
        <f aca="false">X25/C25</f>
        <v>19519.0229201389</v>
      </c>
      <c r="AB25" s="42" t="n">
        <f aca="false">SUM(AB5:AB23)</f>
        <v>699.5175825</v>
      </c>
    </row>
    <row r="27" customFormat="false" ht="15" hidden="false" customHeight="false" outlineLevel="0" collapsed="false">
      <c r="A27" s="3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9" min="3" style="0" width="11"/>
    <col collapsed="false" customWidth="true" hidden="false" outlineLevel="0" max="10" min="10" style="0" width="3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6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40" t="s">
        <v>84</v>
      </c>
      <c r="B4" s="40" t="s">
        <v>38</v>
      </c>
      <c r="C4" s="43" t="n">
        <v>1400</v>
      </c>
      <c r="D4" s="43" t="n">
        <v>1600</v>
      </c>
      <c r="E4" s="43" t="n">
        <v>1800</v>
      </c>
      <c r="F4" s="43" t="n">
        <v>2000</v>
      </c>
      <c r="G4" s="43" t="n">
        <v>2400</v>
      </c>
      <c r="H4" s="43" t="n">
        <v>2600</v>
      </c>
      <c r="I4" s="43" t="n">
        <v>3000</v>
      </c>
    </row>
    <row r="5" customFormat="false" ht="15" hidden="false" customHeight="false" outlineLevel="0" collapsed="false">
      <c r="A5" s="20" t="s">
        <v>190</v>
      </c>
      <c r="C5" s="20" t="n">
        <f aca="false">COUNTIF('Job Costing'!$B$5:$B$23,C$4)</f>
        <v>2</v>
      </c>
      <c r="D5" s="20" t="n">
        <f aca="false">COUNTIF('Job Costing'!$B$5:$B$23,D$4)</f>
        <v>2</v>
      </c>
      <c r="E5" s="20" t="n">
        <f aca="false">COUNTIF('Job Costing'!$B$5:$B$23,E$4)</f>
        <v>3</v>
      </c>
      <c r="F5" s="20" t="n">
        <f aca="false">COUNTIF('Job Costing'!$B$5:$B$23,F$4)</f>
        <v>3</v>
      </c>
      <c r="G5" s="20" t="n">
        <f aca="false">COUNTIF('Job Costing'!$B$5:$B$23,G$4)</f>
        <v>4</v>
      </c>
      <c r="H5" s="20" t="n">
        <f aca="false">COUNTIF('Job Costing'!$B$5:$B$23,H$4)</f>
        <v>4</v>
      </c>
      <c r="I5" s="20" t="n">
        <f aca="false">COUNTIF('Job Costing'!$B$5:$B$23,I$4)</f>
        <v>1</v>
      </c>
    </row>
    <row r="6" customFormat="false" ht="15" hidden="false" customHeight="false" outlineLevel="0" collapsed="false">
      <c r="A6" s="20" t="s">
        <v>8</v>
      </c>
      <c r="C6" s="20" t="n">
        <f aca="false">SUMIFS('Job Costing'!$C$5:$C$23,'Job Costing'!$B$5:$B$23,C$4)</f>
        <v>5</v>
      </c>
      <c r="D6" s="20" t="n">
        <f aca="false">SUMIFS('Job Costing'!$C$5:$C$23,'Job Costing'!$B$5:$B$23,D$4)</f>
        <v>3</v>
      </c>
      <c r="E6" s="20" t="n">
        <f aca="false">SUMIFS('Job Costing'!$C$5:$C$23,'Job Costing'!$B$5:$B$23,E$4)</f>
        <v>9</v>
      </c>
      <c r="F6" s="20" t="n">
        <f aca="false">SUMIFS('Job Costing'!$C$5:$C$23,'Job Costing'!$B$5:$B$23,F$4)</f>
        <v>14</v>
      </c>
      <c r="G6" s="20" t="n">
        <f aca="false">SUMIFS('Job Costing'!$C$5:$C$23,'Job Costing'!$B$5:$B$23,G$4)</f>
        <v>14</v>
      </c>
      <c r="H6" s="20" t="n">
        <f aca="false">SUMIFS('Job Costing'!$C$5:$C$23,'Job Costing'!$B$5:$B$23,H$4)</f>
        <v>12</v>
      </c>
      <c r="I6" s="20" t="n">
        <f aca="false">SUMIFS('Job Costing'!$C$5:$C$23,'Job Costing'!$B$5:$B$23,I$4)</f>
        <v>3</v>
      </c>
    </row>
    <row r="8" customFormat="false" ht="15" hidden="false" customHeight="false" outlineLevel="0" collapsed="false">
      <c r="A8" s="4" t="s">
        <v>191</v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20" t="s">
        <v>42</v>
      </c>
      <c r="B9" s="20" t="s">
        <v>43</v>
      </c>
      <c r="C9" s="34" t="n">
        <f aca="false">SUMIFS('Data - SAP Issues'!$N$4:$N$254,'Data - SAP Issues'!$L$4:$L$254,C$4)/C$6</f>
        <v>7.074799875</v>
      </c>
      <c r="D9" s="34" t="n">
        <f aca="false">SUMIFS('Data - SAP Issues'!$N$4:$N$254,'Data - SAP Issues'!$L$4:$L$254,D$4)/D$6</f>
        <v>8.16102375</v>
      </c>
      <c r="E9" s="34" t="n">
        <f aca="false">SUMIFS('Data - SAP Issues'!$N$4:$N$254,'Data - SAP Issues'!$L$4:$L$254,E$4)/E$6</f>
        <v>7.64927395833333</v>
      </c>
      <c r="F9" s="34" t="n">
        <f aca="false">SUMIFS('Data - SAP Issues'!$N$4:$N$254,'Data - SAP Issues'!$L$4:$L$254,F$4)/F$6</f>
        <v>7.253998125</v>
      </c>
      <c r="G9" s="34" t="n">
        <f aca="false">SUMIFS('Data - SAP Issues'!$N$4:$N$254,'Data - SAP Issues'!$L$4:$L$254,G$4)/G$6</f>
        <v>15.5955127232143</v>
      </c>
      <c r="H9" s="34" t="n">
        <f aca="false">SUMIFS('Data - SAP Issues'!$N$4:$N$254,'Data - SAP Issues'!$L$4:$L$254,H$4)/H$6</f>
        <v>16.7196528125</v>
      </c>
      <c r="I9" s="34" t="n">
        <f aca="false">SUMIFS('Data - SAP Issues'!$N$4:$N$254,'Data - SAP Issues'!$L$4:$L$254,I$4)/I$6</f>
        <v>16.762686875</v>
      </c>
      <c r="K9" s="3" t="s">
        <v>192</v>
      </c>
    </row>
    <row r="10" customFormat="false" ht="15" hidden="false" customHeight="false" outlineLevel="0" collapsed="false">
      <c r="A10" s="20" t="s">
        <v>44</v>
      </c>
      <c r="B10" s="20" t="s">
        <v>45</v>
      </c>
      <c r="C10" s="34" t="n">
        <f aca="false">SUMIFS('Data - SAP Issues'!$F$4:$F$254,'Data - SAP Issues'!$L$4:$L$254,C$4,'Data - SAP Issues'!$M$4:$M$254,$A10)/C$6</f>
        <v>1.2</v>
      </c>
      <c r="D10" s="34" t="n">
        <f aca="false">SUMIFS('Data - SAP Issues'!$F$4:$F$254,'Data - SAP Issues'!$L$4:$L$254,D$4,'Data - SAP Issues'!$M$4:$M$254,$A10)/D$6</f>
        <v>1.66666666666667</v>
      </c>
      <c r="E10" s="34" t="n">
        <f aca="false">SUMIFS('Data - SAP Issues'!$F$4:$F$254,'Data - SAP Issues'!$L$4:$L$254,E$4,'Data - SAP Issues'!$M$4:$M$254,$A10)/E$6</f>
        <v>1.33333333333333</v>
      </c>
      <c r="F10" s="34" t="n">
        <f aca="false">SUMIFS('Data - SAP Issues'!$F$4:$F$254,'Data - SAP Issues'!$L$4:$L$254,F$4,'Data - SAP Issues'!$M$4:$M$254,$A10)/F$6</f>
        <v>1.07142857142857</v>
      </c>
      <c r="G10" s="34" t="n">
        <f aca="false">SUMIFS('Data - SAP Issues'!$F$4:$F$254,'Data - SAP Issues'!$L$4:$L$254,G$4,'Data - SAP Issues'!$M$4:$M$254,$A10)/G$6</f>
        <v>2.42857142857143</v>
      </c>
      <c r="H10" s="34" t="n">
        <f aca="false">SUMIFS('Data - SAP Issues'!$F$4:$F$254,'Data - SAP Issues'!$L$4:$L$254,H$4,'Data - SAP Issues'!$M$4:$M$254,$A10)/H$6</f>
        <v>2.33333333333333</v>
      </c>
      <c r="I10" s="34" t="n">
        <f aca="false">SUMIFS('Data - SAP Issues'!$F$4:$F$254,'Data - SAP Issues'!$L$4:$L$254,I$4,'Data - SAP Issues'!$M$4:$M$254,$A10)/I$6</f>
        <v>3</v>
      </c>
    </row>
    <row r="11" customFormat="false" ht="15" hidden="false" customHeight="false" outlineLevel="0" collapsed="false">
      <c r="A11" s="20" t="s">
        <v>46</v>
      </c>
      <c r="B11" s="20" t="s">
        <v>47</v>
      </c>
      <c r="C11" s="34" t="n">
        <f aca="false">SUMIFS('Data - SAP Issues'!$F$4:$F$254,'Data - SAP Issues'!$L$4:$L$254,C$4,'Data - SAP Issues'!$M$4:$M$254,$A11)/C$6</f>
        <v>0.6</v>
      </c>
      <c r="D11" s="34" t="n">
        <f aca="false">SUMIFS('Data - SAP Issues'!$F$4:$F$254,'Data - SAP Issues'!$L$4:$L$254,D$4,'Data - SAP Issues'!$M$4:$M$254,$A11)/D$6</f>
        <v>0.666666666666667</v>
      </c>
      <c r="E11" s="34" t="n">
        <f aca="false">SUMIFS('Data - SAP Issues'!$F$4:$F$254,'Data - SAP Issues'!$L$4:$L$254,E$4,'Data - SAP Issues'!$M$4:$M$254,$A11)/E$6</f>
        <v>0.555555555555556</v>
      </c>
      <c r="F11" s="34" t="n">
        <f aca="false">SUMIFS('Data - SAP Issues'!$F$4:$F$254,'Data - SAP Issues'!$L$4:$L$254,F$4,'Data - SAP Issues'!$M$4:$M$254,$A11)/F$6</f>
        <v>0.571428571428571</v>
      </c>
      <c r="G11" s="34" t="n">
        <f aca="false">SUMIFS('Data - SAP Issues'!$F$4:$F$254,'Data - SAP Issues'!$L$4:$L$254,G$4,'Data - SAP Issues'!$M$4:$M$254,$A11)/G$6</f>
        <v>1</v>
      </c>
      <c r="H11" s="34" t="n">
        <f aca="false">SUMIFS('Data - SAP Issues'!$F$4:$F$254,'Data - SAP Issues'!$L$4:$L$254,H$4,'Data - SAP Issues'!$M$4:$M$254,$A11)/H$6</f>
        <v>1.16666666666667</v>
      </c>
      <c r="I11" s="34" t="n">
        <f aca="false">SUMIFS('Data - SAP Issues'!$F$4:$F$254,'Data - SAP Issues'!$L$4:$L$254,I$4,'Data - SAP Issues'!$M$4:$M$254,$A11)/I$6</f>
        <v>1.33333333333333</v>
      </c>
    </row>
    <row r="12" customFormat="false" ht="15" hidden="false" customHeight="false" outlineLevel="0" collapsed="false">
      <c r="A12" s="20" t="s">
        <v>48</v>
      </c>
      <c r="B12" s="20" t="s">
        <v>49</v>
      </c>
      <c r="C12" s="34" t="n">
        <f aca="false">SUMIFS('Data - SAP Issues'!$F$4:$F$254,'Data - SAP Issues'!$L$4:$L$254,C$4,'Data - SAP Issues'!$M$4:$M$254,$A12)/C$6</f>
        <v>2.2</v>
      </c>
      <c r="D12" s="34" t="n">
        <f aca="false">SUMIFS('Data - SAP Issues'!$F$4:$F$254,'Data - SAP Issues'!$L$4:$L$254,D$4,'Data - SAP Issues'!$M$4:$M$254,$A12)/D$6</f>
        <v>2.33333333333333</v>
      </c>
      <c r="E12" s="34" t="n">
        <f aca="false">SUMIFS('Data - SAP Issues'!$F$4:$F$254,'Data - SAP Issues'!$L$4:$L$254,E$4,'Data - SAP Issues'!$M$4:$M$254,$A12)/E$6</f>
        <v>2.11111111111111</v>
      </c>
      <c r="F12" s="34" t="n">
        <f aca="false">SUMIFS('Data - SAP Issues'!$F$4:$F$254,'Data - SAP Issues'!$L$4:$L$254,F$4,'Data - SAP Issues'!$M$4:$M$254,$A12)/F$6</f>
        <v>2.28571428571429</v>
      </c>
      <c r="G12" s="34" t="n">
        <f aca="false">SUMIFS('Data - SAP Issues'!$F$4:$F$254,'Data - SAP Issues'!$L$4:$L$254,G$4,'Data - SAP Issues'!$M$4:$M$254,$A12)/G$6</f>
        <v>3.07142857142857</v>
      </c>
      <c r="H12" s="34" t="n">
        <f aca="false">SUMIFS('Data - SAP Issues'!$F$4:$F$254,'Data - SAP Issues'!$L$4:$L$254,H$4,'Data - SAP Issues'!$M$4:$M$254,$A12)/H$6</f>
        <v>3.5</v>
      </c>
      <c r="I12" s="34" t="n">
        <f aca="false">SUMIFS('Data - SAP Issues'!$F$4:$F$254,'Data - SAP Issues'!$L$4:$L$254,I$4,'Data - SAP Issues'!$M$4:$M$254,$A12)/I$6</f>
        <v>4</v>
      </c>
    </row>
    <row r="13" customFormat="false" ht="15" hidden="false" customHeight="false" outlineLevel="0" collapsed="false">
      <c r="A13" s="20" t="s">
        <v>50</v>
      </c>
      <c r="B13" s="20" t="s">
        <v>47</v>
      </c>
      <c r="C13" s="34" t="n">
        <f aca="false">SUMIFS('Data - SAP Issues'!$F$4:$F$254,'Data - SAP Issues'!$L$4:$L$254,C$4,'Data - SAP Issues'!$M$4:$M$254,$A13)/C$6</f>
        <v>0.8</v>
      </c>
      <c r="D13" s="34" t="n">
        <f aca="false">SUMIFS('Data - SAP Issues'!$F$4:$F$254,'Data - SAP Issues'!$L$4:$L$254,D$4,'Data - SAP Issues'!$M$4:$M$254,$A13)/D$6</f>
        <v>1</v>
      </c>
      <c r="E13" s="34" t="n">
        <f aca="false">SUMIFS('Data - SAP Issues'!$F$4:$F$254,'Data - SAP Issues'!$L$4:$L$254,E$4,'Data - SAP Issues'!$M$4:$M$254,$A13)/E$6</f>
        <v>1</v>
      </c>
      <c r="F13" s="34" t="n">
        <f aca="false">SUMIFS('Data - SAP Issues'!$F$4:$F$254,'Data - SAP Issues'!$L$4:$L$254,F$4,'Data - SAP Issues'!$M$4:$M$254,$A13)/F$6</f>
        <v>1</v>
      </c>
      <c r="G13" s="34" t="n">
        <f aca="false">SUMIFS('Data - SAP Issues'!$F$4:$F$254,'Data - SAP Issues'!$L$4:$L$254,G$4,'Data - SAP Issues'!$M$4:$M$254,$A13)/G$6</f>
        <v>1.64285714285714</v>
      </c>
      <c r="H13" s="34" t="n">
        <f aca="false">SUMIFS('Data - SAP Issues'!$F$4:$F$254,'Data - SAP Issues'!$L$4:$L$254,H$4,'Data - SAP Issues'!$M$4:$M$254,$A13)/H$6</f>
        <v>1.91666666666667</v>
      </c>
      <c r="I13" s="34" t="n">
        <f aca="false">SUMIFS('Data - SAP Issues'!$F$4:$F$254,'Data - SAP Issues'!$L$4:$L$254,I$4,'Data - SAP Issues'!$M$4:$M$254,$A13)/I$6</f>
        <v>2.33333333333333</v>
      </c>
    </row>
    <row r="14" customFormat="false" ht="15" hidden="false" customHeight="false" outlineLevel="0" collapsed="false">
      <c r="A14" s="20" t="s">
        <v>51</v>
      </c>
      <c r="B14" s="20" t="s">
        <v>52</v>
      </c>
      <c r="C14" s="34" t="n">
        <f aca="false">SUMIFS('Data - SAP Issues'!$F$4:$F$254,'Data - SAP Issues'!$L$4:$L$254,C$4,'Data - SAP Issues'!$M$4:$M$254,$A14)/C$6</f>
        <v>2.16</v>
      </c>
      <c r="D14" s="34" t="n">
        <f aca="false">SUMIFS('Data - SAP Issues'!$F$4:$F$254,'Data - SAP Issues'!$L$4:$L$254,D$4,'Data - SAP Issues'!$M$4:$M$254,$A14)/D$6</f>
        <v>3.5</v>
      </c>
      <c r="E14" s="34" t="n">
        <f aca="false">SUMIFS('Data - SAP Issues'!$F$4:$F$254,'Data - SAP Issues'!$L$4:$L$254,E$4,'Data - SAP Issues'!$M$4:$M$254,$A14)/E$6</f>
        <v>3.52222222222222</v>
      </c>
      <c r="F14" s="34" t="n">
        <f aca="false">SUMIFS('Data - SAP Issues'!$F$4:$F$254,'Data - SAP Issues'!$L$4:$L$254,F$4,'Data - SAP Issues'!$M$4:$M$254,$A14)/F$6</f>
        <v>2.75714285714286</v>
      </c>
      <c r="G14" s="34" t="n">
        <f aca="false">SUMIFS('Data - SAP Issues'!$F$4:$F$254,'Data - SAP Issues'!$L$4:$L$254,G$4,'Data - SAP Issues'!$M$4:$M$254,$A14)/G$6</f>
        <v>4.57142857142857</v>
      </c>
      <c r="H14" s="34" t="n">
        <f aca="false">SUMIFS('Data - SAP Issues'!$F$4:$F$254,'Data - SAP Issues'!$L$4:$L$254,H$4,'Data - SAP Issues'!$M$4:$M$254,$A14)/H$6</f>
        <v>5.28333333333333</v>
      </c>
      <c r="I14" s="34" t="n">
        <f aca="false">SUMIFS('Data - SAP Issues'!$F$4:$F$254,'Data - SAP Issues'!$L$4:$L$254,I$4,'Data - SAP Issues'!$M$4:$M$254,$A14)/I$6</f>
        <v>7.1</v>
      </c>
    </row>
    <row r="15" customFormat="false" ht="15" hidden="false" customHeight="false" outlineLevel="0" collapsed="false">
      <c r="A15" s="20" t="s">
        <v>53</v>
      </c>
      <c r="B15" s="20" t="s">
        <v>47</v>
      </c>
      <c r="C15" s="34" t="n">
        <f aca="false">SUMIFS('Data - SAP Issues'!$F$4:$F$254,'Data - SAP Issues'!$L$4:$L$254,C$4,'Data - SAP Issues'!$M$4:$M$254,$A15)/C$6</f>
        <v>0.8</v>
      </c>
      <c r="D15" s="34" t="n">
        <f aca="false">SUMIFS('Data - SAP Issues'!$F$4:$F$254,'Data - SAP Issues'!$L$4:$L$254,D$4,'Data - SAP Issues'!$M$4:$M$254,$A15)/D$6</f>
        <v>1</v>
      </c>
      <c r="E15" s="34" t="n">
        <f aca="false">SUMIFS('Data - SAP Issues'!$F$4:$F$254,'Data - SAP Issues'!$L$4:$L$254,E$4,'Data - SAP Issues'!$M$4:$M$254,$A15)/E$6</f>
        <v>0.888888888888889</v>
      </c>
      <c r="F15" s="34" t="n">
        <f aca="false">SUMIFS('Data - SAP Issues'!$F$4:$F$254,'Data - SAP Issues'!$L$4:$L$254,F$4,'Data - SAP Issues'!$M$4:$M$254,$A15)/F$6</f>
        <v>0.928571428571429</v>
      </c>
      <c r="G15" s="34" t="n">
        <f aca="false">SUMIFS('Data - SAP Issues'!$F$4:$F$254,'Data - SAP Issues'!$L$4:$L$254,G$4,'Data - SAP Issues'!$M$4:$M$254,$A15)/G$6</f>
        <v>1.64285714285714</v>
      </c>
      <c r="H15" s="34" t="n">
        <f aca="false">SUMIFS('Data - SAP Issues'!$F$4:$F$254,'Data - SAP Issues'!$L$4:$L$254,H$4,'Data - SAP Issues'!$M$4:$M$254,$A15)/H$6</f>
        <v>1.75</v>
      </c>
      <c r="I15" s="34" t="n">
        <f aca="false">SUMIFS('Data - SAP Issues'!$F$4:$F$254,'Data - SAP Issues'!$L$4:$L$254,I$4,'Data - SAP Issues'!$M$4:$M$254,$A15)/I$6</f>
        <v>3</v>
      </c>
      <c r="K15" s="3" t="s">
        <v>193</v>
      </c>
    </row>
    <row r="16" customFormat="false" ht="15" hidden="false" customHeight="false" outlineLevel="0" collapsed="false">
      <c r="A16" s="20" t="s">
        <v>54</v>
      </c>
      <c r="B16" s="20" t="s">
        <v>49</v>
      </c>
      <c r="C16" s="34" t="n">
        <f aca="false">SUMIFS('Data - SAP Issues'!$F$4:$F$254,'Data - SAP Issues'!$L$4:$L$254,C$4,'Data - SAP Issues'!$M$4:$M$254,$A16)/C$6</f>
        <v>5.4</v>
      </c>
      <c r="D16" s="34" t="n">
        <f aca="false">SUMIFS('Data - SAP Issues'!$F$4:$F$254,'Data - SAP Issues'!$L$4:$L$254,D$4,'Data - SAP Issues'!$M$4:$M$254,$A16)/D$6</f>
        <v>5</v>
      </c>
      <c r="E16" s="34" t="n">
        <f aca="false">SUMIFS('Data - SAP Issues'!$F$4:$F$254,'Data - SAP Issues'!$L$4:$L$254,E$4,'Data - SAP Issues'!$M$4:$M$254,$A16)/E$6</f>
        <v>5.33333333333333</v>
      </c>
      <c r="F16" s="34" t="n">
        <f aca="false">SUMIFS('Data - SAP Issues'!$F$4:$F$254,'Data - SAP Issues'!$L$4:$L$254,F$4,'Data - SAP Issues'!$M$4:$M$254,$A16)/F$6</f>
        <v>0</v>
      </c>
      <c r="G16" s="34" t="n">
        <f aca="false">SUMIFS('Data - SAP Issues'!$F$4:$F$254,'Data - SAP Issues'!$L$4:$L$254,G$4,'Data - SAP Issues'!$M$4:$M$254,$A16)/G$6</f>
        <v>5.57142857142857</v>
      </c>
      <c r="H16" s="34" t="n">
        <f aca="false">SUMIFS('Data - SAP Issues'!$F$4:$F$254,'Data - SAP Issues'!$L$4:$L$254,H$4,'Data - SAP Issues'!$M$4:$M$254,$A16)/H$6</f>
        <v>5.5</v>
      </c>
      <c r="I16" s="34" t="n">
        <f aca="false">SUMIFS('Data - SAP Issues'!$F$4:$F$254,'Data - SAP Issues'!$L$4:$L$254,I$4,'Data - SAP Issues'!$M$4:$M$254,$A16)/I$6</f>
        <v>5</v>
      </c>
    </row>
    <row r="17" customFormat="false" ht="15" hidden="false" customHeight="false" outlineLevel="0" collapsed="false">
      <c r="A17" s="20" t="s">
        <v>55</v>
      </c>
      <c r="B17" s="20" t="s">
        <v>56</v>
      </c>
      <c r="C17" s="34" t="n">
        <f aca="false">SUMIFS('Data - SAP Issues'!$F$4:$F$254,'Data - SAP Issues'!$L$4:$L$254,C$4,'Data - SAP Issues'!$M$4:$M$254,$A17)/C$6</f>
        <v>0</v>
      </c>
      <c r="D17" s="34" t="n">
        <f aca="false">SUMIFS('Data - SAP Issues'!$F$4:$F$254,'Data - SAP Issues'!$L$4:$L$254,D$4,'Data - SAP Issues'!$M$4:$M$254,$A17)/D$6</f>
        <v>0</v>
      </c>
      <c r="E17" s="34" t="n">
        <f aca="false">SUMIFS('Data - SAP Issues'!$F$4:$F$254,'Data - SAP Issues'!$L$4:$L$254,E$4,'Data - SAP Issues'!$M$4:$M$254,$A17)/E$6</f>
        <v>0</v>
      </c>
      <c r="F17" s="34" t="n">
        <f aca="false">SUMIFS('Data - SAP Issues'!$F$4:$F$254,'Data - SAP Issues'!$L$4:$L$254,F$4,'Data - SAP Issues'!$M$4:$M$254,$A17)/F$6</f>
        <v>0</v>
      </c>
      <c r="G17" s="34" t="n">
        <f aca="false">SUMIFS('Data - SAP Issues'!$F$4:$F$254,'Data - SAP Issues'!$L$4:$L$254,G$4,'Data - SAP Issues'!$M$4:$M$254,$A17)/G$6</f>
        <v>542.857142857143</v>
      </c>
      <c r="H17" s="34" t="n">
        <f aca="false">SUMIFS('Data - SAP Issues'!$F$4:$F$254,'Data - SAP Issues'!$L$4:$L$254,H$4,'Data - SAP Issues'!$M$4:$M$254,$A17)/H$6</f>
        <v>741.666666666667</v>
      </c>
      <c r="I17" s="34" t="n">
        <f aca="false">SUMIFS('Data - SAP Issues'!$F$4:$F$254,'Data - SAP Issues'!$L$4:$L$254,I$4,'Data - SAP Issues'!$M$4:$M$254,$A17)/I$6</f>
        <v>966.666666666667</v>
      </c>
    </row>
    <row r="19" customFormat="false" ht="15" hidden="false" customHeight="false" outlineLevel="0" collapsed="false">
      <c r="A19" s="4" t="s">
        <v>194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20" t="s">
        <v>42</v>
      </c>
      <c r="C20" s="36" t="n">
        <f aca="false">C9*VLOOKUP($A20,Inputs!$A$6:$C$17,3,0)</f>
        <v>5518.3439025</v>
      </c>
      <c r="D20" s="36" t="n">
        <f aca="false">D9*VLOOKUP($A20,Inputs!$A$6:$C$17,3,0)</f>
        <v>6365.598525</v>
      </c>
      <c r="E20" s="36" t="n">
        <f aca="false">E9*VLOOKUP($A20,Inputs!$A$6:$C$17,3,0)</f>
        <v>5966.4336875</v>
      </c>
      <c r="F20" s="36" t="n">
        <f aca="false">F9*VLOOKUP($A20,Inputs!$A$6:$C$17,3,0)</f>
        <v>5658.1185375</v>
      </c>
      <c r="G20" s="36" t="n">
        <f aca="false">G9*VLOOKUP($A20,Inputs!$A$6:$C$17,3,0)</f>
        <v>12164.4999241071</v>
      </c>
      <c r="H20" s="36" t="n">
        <f aca="false">H9*VLOOKUP($A20,Inputs!$A$6:$C$17,3,0)</f>
        <v>13041.32919375</v>
      </c>
      <c r="I20" s="36" t="n">
        <f aca="false">I9*VLOOKUP($A20,Inputs!$A$6:$C$17,3,0)</f>
        <v>13074.8957625</v>
      </c>
    </row>
    <row r="21" customFormat="false" ht="15" hidden="false" customHeight="false" outlineLevel="0" collapsed="false">
      <c r="A21" s="20" t="s">
        <v>44</v>
      </c>
      <c r="C21" s="36" t="n">
        <f aca="false">C10*VLOOKUP($A21,Inputs!$A$6:$C$17,3,0)</f>
        <v>118.8</v>
      </c>
      <c r="D21" s="36" t="n">
        <f aca="false">D10*VLOOKUP($A21,Inputs!$A$6:$C$17,3,0)</f>
        <v>165</v>
      </c>
      <c r="E21" s="36" t="n">
        <f aca="false">E10*VLOOKUP($A21,Inputs!$A$6:$C$17,3,0)</f>
        <v>132</v>
      </c>
      <c r="F21" s="36" t="n">
        <f aca="false">F10*VLOOKUP($A21,Inputs!$A$6:$C$17,3,0)</f>
        <v>106.071428571429</v>
      </c>
      <c r="G21" s="36" t="n">
        <f aca="false">G10*VLOOKUP($A21,Inputs!$A$6:$C$17,3,0)</f>
        <v>240.428571428571</v>
      </c>
      <c r="H21" s="36" t="n">
        <f aca="false">H10*VLOOKUP($A21,Inputs!$A$6:$C$17,3,0)</f>
        <v>231</v>
      </c>
      <c r="I21" s="36" t="n">
        <f aca="false">I10*VLOOKUP($A21,Inputs!$A$6:$C$17,3,0)</f>
        <v>297</v>
      </c>
    </row>
    <row r="22" customFormat="false" ht="15" hidden="false" customHeight="false" outlineLevel="0" collapsed="false">
      <c r="A22" s="20" t="s">
        <v>46</v>
      </c>
      <c r="C22" s="36" t="n">
        <f aca="false">C11*VLOOKUP($A22,Inputs!$A$6:$C$17,3,0)</f>
        <v>1350</v>
      </c>
      <c r="D22" s="36" t="n">
        <f aca="false">D11*VLOOKUP($A22,Inputs!$A$6:$C$17,3,0)</f>
        <v>1500</v>
      </c>
      <c r="E22" s="36" t="n">
        <f aca="false">E11*VLOOKUP($A22,Inputs!$A$6:$C$17,3,0)</f>
        <v>1250</v>
      </c>
      <c r="F22" s="36" t="n">
        <f aca="false">F11*VLOOKUP($A22,Inputs!$A$6:$C$17,3,0)</f>
        <v>1285.71428571429</v>
      </c>
      <c r="G22" s="36" t="n">
        <f aca="false">G11*VLOOKUP($A22,Inputs!$A$6:$C$17,3,0)</f>
        <v>2250</v>
      </c>
      <c r="H22" s="36" t="n">
        <f aca="false">H11*VLOOKUP($A22,Inputs!$A$6:$C$17,3,0)</f>
        <v>2625</v>
      </c>
      <c r="I22" s="36" t="n">
        <f aca="false">I11*VLOOKUP($A22,Inputs!$A$6:$C$17,3,0)</f>
        <v>3000</v>
      </c>
    </row>
    <row r="23" customFormat="false" ht="15" hidden="false" customHeight="false" outlineLevel="0" collapsed="false">
      <c r="A23" s="20" t="s">
        <v>48</v>
      </c>
      <c r="C23" s="36" t="n">
        <f aca="false">C12*VLOOKUP($A23,Inputs!$A$6:$C$17,3,0)</f>
        <v>2090</v>
      </c>
      <c r="D23" s="36" t="n">
        <f aca="false">D12*VLOOKUP($A23,Inputs!$A$6:$C$17,3,0)</f>
        <v>2216.66666666667</v>
      </c>
      <c r="E23" s="36" t="n">
        <f aca="false">E12*VLOOKUP($A23,Inputs!$A$6:$C$17,3,0)</f>
        <v>2005.55555555556</v>
      </c>
      <c r="F23" s="36" t="n">
        <f aca="false">F12*VLOOKUP($A23,Inputs!$A$6:$C$17,3,0)</f>
        <v>2171.42857142857</v>
      </c>
      <c r="G23" s="36" t="n">
        <f aca="false">G12*VLOOKUP($A23,Inputs!$A$6:$C$17,3,0)</f>
        <v>2917.85714285714</v>
      </c>
      <c r="H23" s="36" t="n">
        <f aca="false">H12*VLOOKUP($A23,Inputs!$A$6:$C$17,3,0)</f>
        <v>3325</v>
      </c>
      <c r="I23" s="36" t="n">
        <f aca="false">I12*VLOOKUP($A23,Inputs!$A$6:$C$17,3,0)</f>
        <v>3800</v>
      </c>
    </row>
    <row r="24" customFormat="false" ht="15" hidden="false" customHeight="false" outlineLevel="0" collapsed="false">
      <c r="A24" s="20" t="s">
        <v>50</v>
      </c>
      <c r="C24" s="36" t="n">
        <f aca="false">C13*VLOOKUP($A24,Inputs!$A$6:$C$17,3,0)</f>
        <v>67.2</v>
      </c>
      <c r="D24" s="36" t="n">
        <f aca="false">D13*VLOOKUP($A24,Inputs!$A$6:$C$17,3,0)</f>
        <v>84</v>
      </c>
      <c r="E24" s="36" t="n">
        <f aca="false">E13*VLOOKUP($A24,Inputs!$A$6:$C$17,3,0)</f>
        <v>84</v>
      </c>
      <c r="F24" s="36" t="n">
        <f aca="false">F13*VLOOKUP($A24,Inputs!$A$6:$C$17,3,0)</f>
        <v>84</v>
      </c>
      <c r="G24" s="36" t="n">
        <f aca="false">G13*VLOOKUP($A24,Inputs!$A$6:$C$17,3,0)</f>
        <v>138</v>
      </c>
      <c r="H24" s="36" t="n">
        <f aca="false">H13*VLOOKUP($A24,Inputs!$A$6:$C$17,3,0)</f>
        <v>161</v>
      </c>
      <c r="I24" s="36" t="n">
        <f aca="false">I13*VLOOKUP($A24,Inputs!$A$6:$C$17,3,0)</f>
        <v>196</v>
      </c>
    </row>
    <row r="25" customFormat="false" ht="15" hidden="false" customHeight="false" outlineLevel="0" collapsed="false">
      <c r="A25" s="20" t="s">
        <v>51</v>
      </c>
      <c r="C25" s="36" t="n">
        <f aca="false">C14*VLOOKUP($A25,Inputs!$A$6:$C$17,3,0)</f>
        <v>362.440677966102</v>
      </c>
      <c r="D25" s="36" t="n">
        <f aca="false">D14*VLOOKUP($A25,Inputs!$A$6:$C$17,3,0)</f>
        <v>587.28813559322</v>
      </c>
      <c r="E25" s="36" t="n">
        <f aca="false">E14*VLOOKUP($A25,Inputs!$A$6:$C$17,3,0)</f>
        <v>591.016949152543</v>
      </c>
      <c r="F25" s="36" t="n">
        <f aca="false">F14*VLOOKUP($A25,Inputs!$A$6:$C$17,3,0)</f>
        <v>462.639225181598</v>
      </c>
      <c r="G25" s="36" t="n">
        <f aca="false">G14*VLOOKUP($A25,Inputs!$A$6:$C$17,3,0)</f>
        <v>767.070217917676</v>
      </c>
      <c r="H25" s="36" t="n">
        <f aca="false">H14*VLOOKUP($A25,Inputs!$A$6:$C$17,3,0)</f>
        <v>886.525423728814</v>
      </c>
      <c r="I25" s="36" t="n">
        <f aca="false">I14*VLOOKUP($A25,Inputs!$A$6:$C$17,3,0)</f>
        <v>1191.35593220339</v>
      </c>
    </row>
    <row r="26" customFormat="false" ht="15" hidden="false" customHeight="false" outlineLevel="0" collapsed="false">
      <c r="A26" s="20" t="s">
        <v>53</v>
      </c>
      <c r="C26" s="36" t="n">
        <f aca="false">C15*VLOOKUP($A26,Inputs!$A$6:$C$17,3,0)</f>
        <v>568</v>
      </c>
      <c r="D26" s="36" t="n">
        <f aca="false">D15*VLOOKUP($A26,Inputs!$A$6:$C$17,3,0)</f>
        <v>710</v>
      </c>
      <c r="E26" s="36" t="n">
        <f aca="false">E15*VLOOKUP($A26,Inputs!$A$6:$C$17,3,0)</f>
        <v>631.111111111111</v>
      </c>
      <c r="F26" s="36" t="n">
        <f aca="false">F15*VLOOKUP($A26,Inputs!$A$6:$C$17,3,0)</f>
        <v>659.285714285714</v>
      </c>
      <c r="G26" s="36" t="n">
        <f aca="false">G15*VLOOKUP($A26,Inputs!$A$6:$C$17,3,0)</f>
        <v>1166.42857142857</v>
      </c>
      <c r="H26" s="36" t="n">
        <f aca="false">H15*VLOOKUP($A26,Inputs!$A$6:$C$17,3,0)</f>
        <v>1242.5</v>
      </c>
      <c r="I26" s="36" t="n">
        <f aca="false">I15*VLOOKUP($A26,Inputs!$A$6:$C$17,3,0)</f>
        <v>2130</v>
      </c>
    </row>
    <row r="27" customFormat="false" ht="15" hidden="false" customHeight="false" outlineLevel="0" collapsed="false">
      <c r="A27" s="20" t="s">
        <v>54</v>
      </c>
      <c r="C27" s="36" t="n">
        <f aca="false">C16*VLOOKUP($A27,Inputs!$A$6:$C$17,3,0)</f>
        <v>864</v>
      </c>
      <c r="D27" s="36" t="n">
        <f aca="false">D16*VLOOKUP($A27,Inputs!$A$6:$C$17,3,0)</f>
        <v>800</v>
      </c>
      <c r="E27" s="36" t="n">
        <f aca="false">E16*VLOOKUP($A27,Inputs!$A$6:$C$17,3,0)</f>
        <v>853.333333333333</v>
      </c>
      <c r="F27" s="36" t="n">
        <f aca="false">F16*VLOOKUP($A27,Inputs!$A$6:$C$17,3,0)</f>
        <v>0</v>
      </c>
      <c r="G27" s="36" t="n">
        <f aca="false">G16*VLOOKUP($A27,Inputs!$A$6:$C$17,3,0)</f>
        <v>891.428571428571</v>
      </c>
      <c r="H27" s="36" t="n">
        <f aca="false">H16*VLOOKUP($A27,Inputs!$A$6:$C$17,3,0)</f>
        <v>880</v>
      </c>
      <c r="I27" s="36" t="n">
        <f aca="false">I16*VLOOKUP($A27,Inputs!$A$6:$C$17,3,0)</f>
        <v>800</v>
      </c>
    </row>
    <row r="28" customFormat="false" ht="15" hidden="false" customHeight="false" outlineLevel="0" collapsed="false">
      <c r="A28" s="20" t="s">
        <v>55</v>
      </c>
      <c r="C28" s="36" t="n">
        <f aca="false">C17*VLOOKUP($A28,Inputs!$A$6:$C$17,3,0)</f>
        <v>0</v>
      </c>
      <c r="D28" s="36" t="n">
        <f aca="false">D17*VLOOKUP($A28,Inputs!$A$6:$C$17,3,0)</f>
        <v>0</v>
      </c>
      <c r="E28" s="36" t="n">
        <f aca="false">E17*VLOOKUP($A28,Inputs!$A$6:$C$17,3,0)</f>
        <v>0</v>
      </c>
      <c r="F28" s="36" t="n">
        <f aca="false">F17*VLOOKUP($A28,Inputs!$A$6:$C$17,3,0)</f>
        <v>0</v>
      </c>
      <c r="G28" s="36" t="n">
        <f aca="false">G17*VLOOKUP($A28,Inputs!$A$6:$C$17,3,0)</f>
        <v>2714.28571428571</v>
      </c>
      <c r="H28" s="36" t="n">
        <f aca="false">H17*VLOOKUP($A28,Inputs!$A$6:$C$17,3,0)</f>
        <v>3708.33333333333</v>
      </c>
      <c r="I28" s="36" t="n">
        <f aca="false">I17*VLOOKUP($A28,Inputs!$A$6:$C$17,3,0)</f>
        <v>4833.33333333333</v>
      </c>
    </row>
    <row r="29" customFormat="false" ht="15" hidden="false" customHeight="false" outlineLevel="0" collapsed="false">
      <c r="A29" s="40" t="s">
        <v>195</v>
      </c>
      <c r="C29" s="38" t="n">
        <f aca="false">SUM(C20:C28)</f>
        <v>10938.7845804661</v>
      </c>
      <c r="D29" s="38" t="n">
        <f aca="false">SUM(D20:D28)</f>
        <v>12428.5533272599</v>
      </c>
      <c r="E29" s="38" t="n">
        <f aca="false">SUM(E20:E28)</f>
        <v>11513.4506366525</v>
      </c>
      <c r="F29" s="38" t="n">
        <f aca="false">SUM(F20:F28)</f>
        <v>10427.2577626816</v>
      </c>
      <c r="G29" s="38" t="n">
        <f aca="false">SUM(G20:G28)</f>
        <v>23249.9987134534</v>
      </c>
      <c r="H29" s="38" t="n">
        <f aca="false">SUM(H20:H28)</f>
        <v>26100.6879508122</v>
      </c>
      <c r="I29" s="38" t="n">
        <f aca="false">SUM(I20:I28)</f>
        <v>29322.5850280367</v>
      </c>
    </row>
    <row r="31" customFormat="false" ht="15" hidden="false" customHeight="false" outlineLevel="0" collapsed="false">
      <c r="A31" s="4" t="s">
        <v>196</v>
      </c>
      <c r="B31" s="5"/>
      <c r="C31" s="5"/>
      <c r="D31" s="5"/>
      <c r="E31" s="5"/>
      <c r="F31" s="5"/>
      <c r="G31" s="5"/>
      <c r="H31" s="5"/>
      <c r="I31" s="5"/>
    </row>
    <row r="32" customFormat="false" ht="30" hidden="false" customHeight="true" outlineLevel="0" collapsed="false">
      <c r="A32" s="19" t="s">
        <v>37</v>
      </c>
      <c r="B32" s="19" t="s">
        <v>38</v>
      </c>
      <c r="C32" s="19" t="s">
        <v>197</v>
      </c>
      <c r="D32" s="19" t="s">
        <v>198</v>
      </c>
      <c r="E32" s="19" t="s">
        <v>199</v>
      </c>
    </row>
    <row r="33" customFormat="false" ht="15" hidden="false" customHeight="false" outlineLevel="0" collapsed="false">
      <c r="A33" s="20" t="s">
        <v>42</v>
      </c>
      <c r="B33" s="20" t="s">
        <v>43</v>
      </c>
      <c r="C33" s="34" t="n">
        <f aca="false">SUM('Data - 2.0m BOM'!H4:H14)</f>
        <v>6.847933125</v>
      </c>
      <c r="D33" s="34" t="n">
        <f aca="false">F9</f>
        <v>7.253998125</v>
      </c>
      <c r="E33" s="34" t="n">
        <f aca="false">D33-C33</f>
        <v>0.406065000000001</v>
      </c>
    </row>
    <row r="34" customFormat="false" ht="15" hidden="false" customHeight="false" outlineLevel="0" collapsed="false">
      <c r="A34" s="20" t="s">
        <v>44</v>
      </c>
      <c r="B34" s="20" t="s">
        <v>45</v>
      </c>
      <c r="C34" s="34" t="n">
        <f aca="false">'Data - 2.0m BOM'!D9</f>
        <v>1</v>
      </c>
      <c r="D34" s="34" t="n">
        <f aca="false">F10</f>
        <v>1.07142857142857</v>
      </c>
      <c r="E34" s="34" t="n">
        <f aca="false">D34-C34</f>
        <v>0.0714285714285714</v>
      </c>
    </row>
    <row r="35" customFormat="false" ht="15" hidden="false" customHeight="false" outlineLevel="0" collapsed="false">
      <c r="A35" s="20" t="s">
        <v>46</v>
      </c>
      <c r="B35" s="20" t="s">
        <v>47</v>
      </c>
      <c r="C35" s="34" t="n">
        <f aca="false">'Data - 2.0m BOM'!D10</f>
        <v>0.5</v>
      </c>
      <c r="D35" s="34" t="n">
        <f aca="false">F11</f>
        <v>0.571428571428571</v>
      </c>
      <c r="E35" s="34" t="n">
        <f aca="false">D35-C35</f>
        <v>0.0714285714285714</v>
      </c>
    </row>
    <row r="36" customFormat="false" ht="15" hidden="false" customHeight="false" outlineLevel="0" collapsed="false">
      <c r="A36" s="20" t="s">
        <v>48</v>
      </c>
      <c r="B36" s="20" t="s">
        <v>49</v>
      </c>
      <c r="C36" s="34" t="n">
        <f aca="false">'Data - 2.0m BOM'!D11</f>
        <v>2</v>
      </c>
      <c r="D36" s="34" t="n">
        <f aca="false">F12</f>
        <v>2.28571428571429</v>
      </c>
      <c r="E36" s="34" t="n">
        <f aca="false">D36-C36</f>
        <v>0.285714285714286</v>
      </c>
    </row>
    <row r="37" customFormat="false" ht="15" hidden="false" customHeight="false" outlineLevel="0" collapsed="false">
      <c r="A37" s="20" t="s">
        <v>50</v>
      </c>
      <c r="B37" s="20" t="s">
        <v>47</v>
      </c>
      <c r="C37" s="34" t="n">
        <f aca="false">'Data - 2.0m BOM'!D12</f>
        <v>0.833</v>
      </c>
      <c r="D37" s="34" t="n">
        <f aca="false">F13</f>
        <v>1</v>
      </c>
      <c r="E37" s="34" t="n">
        <f aca="false">D37-C37</f>
        <v>0.167</v>
      </c>
    </row>
    <row r="38" customFormat="false" ht="15" hidden="false" customHeight="false" outlineLevel="0" collapsed="false">
      <c r="A38" s="20" t="s">
        <v>51</v>
      </c>
      <c r="B38" s="20" t="s">
        <v>52</v>
      </c>
      <c r="C38" s="34" t="n">
        <f aca="false">'Data - 2.0m BOM'!D13</f>
        <v>2.333</v>
      </c>
      <c r="D38" s="34" t="n">
        <f aca="false">F14</f>
        <v>2.75714285714286</v>
      </c>
      <c r="E38" s="34" t="n">
        <f aca="false">D38-C38</f>
        <v>0.424142857142857</v>
      </c>
    </row>
    <row r="39" customFormat="false" ht="15" hidden="false" customHeight="false" outlineLevel="0" collapsed="false">
      <c r="A39" s="20" t="s">
        <v>53</v>
      </c>
      <c r="B39" s="20" t="s">
        <v>47</v>
      </c>
      <c r="C39" s="34" t="n">
        <f aca="false">'Data - 2.0m BOM'!D14</f>
        <v>0.833</v>
      </c>
      <c r="D39" s="34" t="n">
        <f aca="false">F15</f>
        <v>0.928571428571429</v>
      </c>
      <c r="E39" s="34" t="n">
        <f aca="false">D39-C39</f>
        <v>0.0955714285714286</v>
      </c>
    </row>
    <row r="41" customFormat="false" ht="15" hidden="false" customHeight="false" outlineLevel="0" collapsed="false">
      <c r="A41" s="4" t="s">
        <v>200</v>
      </c>
      <c r="B41" s="5"/>
      <c r="C41" s="5"/>
      <c r="D41" s="5"/>
      <c r="E41" s="5"/>
      <c r="F41" s="5"/>
      <c r="G41" s="5"/>
      <c r="H41" s="5"/>
      <c r="I41" s="5"/>
    </row>
    <row r="42" customFormat="false" ht="30" hidden="false" customHeight="true" outlineLevel="0" collapsed="false">
      <c r="A42" s="19" t="s">
        <v>37</v>
      </c>
      <c r="B42" s="19" t="s">
        <v>84</v>
      </c>
      <c r="C42" s="19" t="s">
        <v>201</v>
      </c>
      <c r="D42" s="19" t="s">
        <v>202</v>
      </c>
    </row>
    <row r="43" customFormat="false" ht="15" hidden="false" customHeight="false" outlineLevel="0" collapsed="false">
      <c r="A43" s="23" t="s">
        <v>203</v>
      </c>
      <c r="B43" s="23" t="n">
        <v>1400</v>
      </c>
      <c r="C43" s="37" t="n">
        <f aca="false">SUMIFS('Data - SAP Issues'!$F$4:$F$254,'Data - SAP Issues'!$L$4:$L$254,B43,'Data - SAP Issues'!$E$4:$E$254,A43)/SUMIFS('Job Costing'!$C$5:$C$23,'Job Costing'!$B$5:$B$23,B43)</f>
        <v>5</v>
      </c>
      <c r="D43" s="41" t="n">
        <f aca="false">ROUND(C43,0)</f>
        <v>5</v>
      </c>
    </row>
    <row r="44" customFormat="false" ht="15" hidden="false" customHeight="false" outlineLevel="0" collapsed="false">
      <c r="A44" s="23" t="s">
        <v>204</v>
      </c>
      <c r="B44" s="23" t="n">
        <v>1400</v>
      </c>
      <c r="C44" s="37" t="n">
        <f aca="false">SUMIFS('Data - SAP Issues'!$F$4:$F$254,'Data - SAP Issues'!$L$4:$L$254,B44,'Data - SAP Issues'!$E$4:$E$254,A44)/SUMIFS('Job Costing'!$C$5:$C$23,'Job Costing'!$B$5:$B$23,B44)</f>
        <v>4.2</v>
      </c>
      <c r="D44" s="41" t="n">
        <f aca="false">ROUND(C44,0)</f>
        <v>4</v>
      </c>
    </row>
    <row r="45" customFormat="false" ht="15" hidden="false" customHeight="false" outlineLevel="0" collapsed="false">
      <c r="A45" s="23" t="s">
        <v>205</v>
      </c>
      <c r="B45" s="23" t="n">
        <v>1400</v>
      </c>
      <c r="C45" s="37" t="n">
        <f aca="false">SUMIFS('Data - SAP Issues'!$F$4:$F$254,'Data - SAP Issues'!$L$4:$L$254,B45,'Data - SAP Issues'!$E$4:$E$254,A45)/SUMIFS('Job Costing'!$C$5:$C$23,'Job Costing'!$B$5:$B$23,B45)</f>
        <v>4.2</v>
      </c>
      <c r="D45" s="41" t="n">
        <f aca="false">ROUND(C45,0)</f>
        <v>4</v>
      </c>
    </row>
    <row r="46" customFormat="false" ht="15" hidden="false" customHeight="false" outlineLevel="0" collapsed="false">
      <c r="A46" s="23" t="s">
        <v>206</v>
      </c>
      <c r="B46" s="23" t="n">
        <v>1400</v>
      </c>
      <c r="C46" s="37" t="n">
        <f aca="false">SUMIFS('Data - SAP Issues'!$F$4:$F$254,'Data - SAP Issues'!$L$4:$L$254,B46,'Data - SAP Issues'!$E$4:$E$254,A46)/SUMIFS('Job Costing'!$C$5:$C$23,'Job Costing'!$B$5:$B$23,B46)</f>
        <v>3.4</v>
      </c>
      <c r="D46" s="41" t="n">
        <f aca="false">ROUND(C46,0)</f>
        <v>3</v>
      </c>
    </row>
    <row r="47" customFormat="false" ht="15" hidden="false" customHeight="false" outlineLevel="0" collapsed="false">
      <c r="A47" s="23" t="s">
        <v>207</v>
      </c>
      <c r="B47" s="23" t="n">
        <v>1400</v>
      </c>
      <c r="C47" s="37" t="n">
        <f aca="false">SUMIFS('Data - SAP Issues'!$F$4:$F$254,'Data - SAP Issues'!$L$4:$L$254,B47,'Data - SAP Issues'!$E$4:$E$254,A47)/SUMIFS('Job Costing'!$C$5:$C$23,'Job Costing'!$B$5:$B$23,B47)</f>
        <v>2.6</v>
      </c>
      <c r="D47" s="41" t="n">
        <f aca="false">ROUND(C47,0)</f>
        <v>3</v>
      </c>
    </row>
    <row r="48" customFormat="false" ht="15" hidden="false" customHeight="false" outlineLevel="0" collapsed="false">
      <c r="A48" s="23" t="s">
        <v>208</v>
      </c>
      <c r="B48" s="23" t="n">
        <v>1600</v>
      </c>
      <c r="C48" s="37" t="n">
        <f aca="false">SUMIFS('Data - SAP Issues'!$F$4:$F$254,'Data - SAP Issues'!$L$4:$L$254,B48,'Data - SAP Issues'!$E$4:$E$254,A48)/SUMIFS('Job Costing'!$C$5:$C$23,'Job Costing'!$B$5:$B$23,B48)</f>
        <v>5</v>
      </c>
      <c r="D48" s="41" t="n">
        <f aca="false">ROUND(C48,0)</f>
        <v>5</v>
      </c>
    </row>
    <row r="49" customFormat="false" ht="15" hidden="false" customHeight="false" outlineLevel="0" collapsed="false">
      <c r="A49" s="23" t="s">
        <v>204</v>
      </c>
      <c r="B49" s="23" t="n">
        <v>1600</v>
      </c>
      <c r="C49" s="37" t="n">
        <f aca="false">SUMIFS('Data - SAP Issues'!$F$4:$F$254,'Data - SAP Issues'!$L$4:$L$254,B49,'Data - SAP Issues'!$E$4:$E$254,A49)/SUMIFS('Job Costing'!$C$5:$C$23,'Job Costing'!$B$5:$B$23,B49)</f>
        <v>5.66666666666667</v>
      </c>
      <c r="D49" s="41" t="n">
        <f aca="false">ROUND(C49,0)</f>
        <v>6</v>
      </c>
    </row>
    <row r="50" customFormat="false" ht="15" hidden="false" customHeight="false" outlineLevel="0" collapsed="false">
      <c r="A50" s="23" t="s">
        <v>205</v>
      </c>
      <c r="B50" s="23" t="n">
        <v>1600</v>
      </c>
      <c r="C50" s="37" t="n">
        <f aca="false">SUMIFS('Data - SAP Issues'!$F$4:$F$254,'Data - SAP Issues'!$L$4:$L$254,B50,'Data - SAP Issues'!$E$4:$E$254,A50)/SUMIFS('Job Costing'!$C$5:$C$23,'Job Costing'!$B$5:$B$23,B50)</f>
        <v>4.66666666666667</v>
      </c>
      <c r="D50" s="41" t="n">
        <f aca="false">ROUND(C50,0)</f>
        <v>5</v>
      </c>
    </row>
    <row r="51" customFormat="false" ht="15" hidden="false" customHeight="false" outlineLevel="0" collapsed="false">
      <c r="A51" s="23" t="s">
        <v>209</v>
      </c>
      <c r="B51" s="23" t="n">
        <v>1600</v>
      </c>
      <c r="C51" s="37" t="n">
        <f aca="false">SUMIFS('Data - SAP Issues'!$F$4:$F$254,'Data - SAP Issues'!$L$4:$L$254,B51,'Data - SAP Issues'!$E$4:$E$254,A51)/SUMIFS('Job Costing'!$C$5:$C$23,'Job Costing'!$B$5:$B$23,B51)</f>
        <v>2</v>
      </c>
      <c r="D51" s="41" t="n">
        <f aca="false">ROUND(C51,0)</f>
        <v>2</v>
      </c>
    </row>
    <row r="52" customFormat="false" ht="15" hidden="false" customHeight="false" outlineLevel="0" collapsed="false">
      <c r="A52" s="23" t="s">
        <v>210</v>
      </c>
      <c r="B52" s="23" t="n">
        <v>1600</v>
      </c>
      <c r="C52" s="37" t="n">
        <f aca="false">SUMIFS('Data - SAP Issues'!$F$4:$F$254,'Data - SAP Issues'!$L$4:$L$254,B52,'Data - SAP Issues'!$E$4:$E$254,A52)/SUMIFS('Job Costing'!$C$5:$C$23,'Job Costing'!$B$5:$B$23,B52)</f>
        <v>4</v>
      </c>
      <c r="D52" s="41" t="n">
        <f aca="false">ROUND(C52,0)</f>
        <v>4</v>
      </c>
    </row>
    <row r="53" customFormat="false" ht="15" hidden="false" customHeight="false" outlineLevel="0" collapsed="false">
      <c r="A53" s="23" t="s">
        <v>211</v>
      </c>
      <c r="B53" s="23" t="n">
        <v>1800</v>
      </c>
      <c r="C53" s="37" t="n">
        <f aca="false">SUMIFS('Data - SAP Issues'!$F$4:$F$254,'Data - SAP Issues'!$L$4:$L$254,B53,'Data - SAP Issues'!$E$4:$E$254,A53)/SUMIFS('Job Costing'!$C$5:$C$23,'Job Costing'!$B$5:$B$23,B53)</f>
        <v>3.77777777777778</v>
      </c>
      <c r="D53" s="41" t="n">
        <f aca="false">ROUND(C53,0)</f>
        <v>4</v>
      </c>
    </row>
    <row r="54" customFormat="false" ht="15" hidden="false" customHeight="false" outlineLevel="0" collapsed="false">
      <c r="A54" s="23" t="s">
        <v>204</v>
      </c>
      <c r="B54" s="23" t="n">
        <v>1800</v>
      </c>
      <c r="C54" s="37" t="n">
        <f aca="false">SUMIFS('Data - SAP Issues'!$F$4:$F$254,'Data - SAP Issues'!$L$4:$L$254,B54,'Data - SAP Issues'!$E$4:$E$254,A54)/SUMIFS('Job Costing'!$C$5:$C$23,'Job Costing'!$B$5:$B$23,B54)</f>
        <v>3.66666666666667</v>
      </c>
      <c r="D54" s="41" t="n">
        <f aca="false">ROUND(C54,0)</f>
        <v>4</v>
      </c>
    </row>
    <row r="55" customFormat="false" ht="15" hidden="false" customHeight="false" outlineLevel="0" collapsed="false">
      <c r="A55" s="23" t="s">
        <v>205</v>
      </c>
      <c r="B55" s="23" t="n">
        <v>1800</v>
      </c>
      <c r="C55" s="37" t="n">
        <f aca="false">SUMIFS('Data - SAP Issues'!$F$4:$F$254,'Data - SAP Issues'!$L$4:$L$254,B55,'Data - SAP Issues'!$E$4:$E$254,A55)/SUMIFS('Job Costing'!$C$5:$C$23,'Job Costing'!$B$5:$B$23,B55)</f>
        <v>3.88888888888889</v>
      </c>
      <c r="D55" s="41" t="n">
        <f aca="false">ROUND(C55,0)</f>
        <v>4</v>
      </c>
    </row>
    <row r="56" customFormat="false" ht="15" hidden="false" customHeight="false" outlineLevel="0" collapsed="false">
      <c r="A56" s="23" t="s">
        <v>212</v>
      </c>
      <c r="B56" s="23" t="n">
        <v>1800</v>
      </c>
      <c r="C56" s="37" t="n">
        <f aca="false">SUMIFS('Data - SAP Issues'!$F$4:$F$254,'Data - SAP Issues'!$L$4:$L$254,B56,'Data - SAP Issues'!$E$4:$E$254,A56)/SUMIFS('Job Costing'!$C$5:$C$23,'Job Costing'!$B$5:$B$23,B56)</f>
        <v>2.33333333333333</v>
      </c>
      <c r="D56" s="41" t="n">
        <f aca="false">ROUND(C56,0)</f>
        <v>2</v>
      </c>
    </row>
    <row r="57" customFormat="false" ht="15" hidden="false" customHeight="false" outlineLevel="0" collapsed="false">
      <c r="A57" s="23" t="s">
        <v>213</v>
      </c>
      <c r="B57" s="23" t="n">
        <v>1800</v>
      </c>
      <c r="C57" s="37" t="n">
        <f aca="false">SUMIFS('Data - SAP Issues'!$F$4:$F$254,'Data - SAP Issues'!$L$4:$L$254,B57,'Data - SAP Issues'!$E$4:$E$254,A57)/SUMIFS('Job Costing'!$C$5:$C$23,'Job Costing'!$B$5:$B$23,B57)</f>
        <v>3.55555555555556</v>
      </c>
      <c r="D57" s="41" t="n">
        <f aca="false">ROUND(C57,0)</f>
        <v>4</v>
      </c>
    </row>
    <row r="58" customFormat="false" ht="15" hidden="false" customHeight="false" outlineLevel="0" collapsed="false">
      <c r="A58" s="23" t="s">
        <v>214</v>
      </c>
      <c r="B58" s="23" t="n">
        <v>2000</v>
      </c>
      <c r="C58" s="37" t="n">
        <f aca="false">SUMIFS('Data - SAP Issues'!$F$4:$F$254,'Data - SAP Issues'!$L$4:$L$254,B58,'Data - SAP Issues'!$E$4:$E$254,A58)/SUMIFS('Job Costing'!$C$5:$C$23,'Job Costing'!$B$5:$B$23,B58)</f>
        <v>3.92857142857143</v>
      </c>
      <c r="D58" s="41" t="n">
        <f aca="false">ROUND(C58,0)</f>
        <v>4</v>
      </c>
    </row>
    <row r="59" customFormat="false" ht="15" hidden="false" customHeight="false" outlineLevel="0" collapsed="false">
      <c r="A59" s="23" t="s">
        <v>204</v>
      </c>
      <c r="B59" s="23" t="n">
        <v>2000</v>
      </c>
      <c r="C59" s="37" t="n">
        <f aca="false">SUMIFS('Data - SAP Issues'!$F$4:$F$254,'Data - SAP Issues'!$L$4:$L$254,B59,'Data - SAP Issues'!$E$4:$E$254,A59)/SUMIFS('Job Costing'!$C$5:$C$23,'Job Costing'!$B$5:$B$23,B59)</f>
        <v>4.07142857142857</v>
      </c>
      <c r="D59" s="41" t="n">
        <f aca="false">ROUND(C59,0)</f>
        <v>4</v>
      </c>
    </row>
    <row r="60" customFormat="false" ht="15" hidden="false" customHeight="false" outlineLevel="0" collapsed="false">
      <c r="A60" s="23" t="s">
        <v>205</v>
      </c>
      <c r="B60" s="23" t="n">
        <v>2000</v>
      </c>
      <c r="C60" s="37" t="n">
        <f aca="false">SUMIFS('Data - SAP Issues'!$F$4:$F$254,'Data - SAP Issues'!$L$4:$L$254,B60,'Data - SAP Issues'!$E$4:$E$254,A60)/SUMIFS('Job Costing'!$C$5:$C$23,'Job Costing'!$B$5:$B$23,B60)</f>
        <v>4.35714285714286</v>
      </c>
      <c r="D60" s="41" t="n">
        <f aca="false">ROUND(C60,0)</f>
        <v>4</v>
      </c>
    </row>
    <row r="61" customFormat="false" ht="15" hidden="false" customHeight="false" outlineLevel="0" collapsed="false">
      <c r="A61" s="23" t="s">
        <v>215</v>
      </c>
      <c r="B61" s="23" t="n">
        <v>2000</v>
      </c>
      <c r="C61" s="37" t="n">
        <f aca="false">SUMIFS('Data - SAP Issues'!$F$4:$F$254,'Data - SAP Issues'!$L$4:$L$254,B61,'Data - SAP Issues'!$E$4:$E$254,A61)/SUMIFS('Job Costing'!$C$5:$C$23,'Job Costing'!$B$5:$B$23,B61)</f>
        <v>2.14285714285714</v>
      </c>
      <c r="D61" s="41" t="n">
        <f aca="false">ROUND(C61,0)</f>
        <v>2</v>
      </c>
    </row>
    <row r="62" customFormat="false" ht="15" hidden="false" customHeight="false" outlineLevel="0" collapsed="false">
      <c r="A62" s="23" t="s">
        <v>216</v>
      </c>
      <c r="B62" s="23" t="n">
        <v>2000</v>
      </c>
      <c r="C62" s="37" t="n">
        <f aca="false">SUMIFS('Data - SAP Issues'!$F$4:$F$254,'Data - SAP Issues'!$L$4:$L$254,B62,'Data - SAP Issues'!$E$4:$E$254,A62)/SUMIFS('Job Costing'!$C$5:$C$23,'Job Costing'!$B$5:$B$23,B62)</f>
        <v>3.28571428571429</v>
      </c>
      <c r="D62" s="41" t="n">
        <f aca="false">ROUND(C62,0)</f>
        <v>3</v>
      </c>
    </row>
    <row r="63" customFormat="false" ht="15" hidden="false" customHeight="false" outlineLevel="0" collapsed="false">
      <c r="A63" s="23" t="s">
        <v>217</v>
      </c>
      <c r="B63" s="23" t="n">
        <v>2400</v>
      </c>
      <c r="C63" s="37" t="n">
        <f aca="false">SUMIFS('Data - SAP Issues'!$F$4:$F$254,'Data - SAP Issues'!$L$4:$L$254,B63,'Data - SAP Issues'!$E$4:$E$254,A63)/SUMIFS('Job Costing'!$C$5:$C$23,'Job Costing'!$B$5:$B$23,B63)</f>
        <v>6</v>
      </c>
      <c r="D63" s="41" t="n">
        <f aca="false">ROUND(C63,0)</f>
        <v>6</v>
      </c>
    </row>
    <row r="64" customFormat="false" ht="15" hidden="false" customHeight="false" outlineLevel="0" collapsed="false">
      <c r="A64" s="23" t="s">
        <v>204</v>
      </c>
      <c r="B64" s="23" t="n">
        <v>2400</v>
      </c>
      <c r="C64" s="37" t="n">
        <f aca="false">SUMIFS('Data - SAP Issues'!$F$4:$F$254,'Data - SAP Issues'!$L$4:$L$254,B64,'Data - SAP Issues'!$E$4:$E$254,A64)/SUMIFS('Job Costing'!$C$5:$C$23,'Job Costing'!$B$5:$B$23,B64)</f>
        <v>6.07142857142857</v>
      </c>
      <c r="D64" s="41" t="n">
        <f aca="false">ROUND(C64,0)</f>
        <v>6</v>
      </c>
    </row>
    <row r="65" customFormat="false" ht="15" hidden="false" customHeight="false" outlineLevel="0" collapsed="false">
      <c r="A65" s="23" t="s">
        <v>218</v>
      </c>
      <c r="B65" s="23" t="n">
        <v>2400</v>
      </c>
      <c r="C65" s="37" t="n">
        <f aca="false">SUMIFS('Data - SAP Issues'!$F$4:$F$254,'Data - SAP Issues'!$L$4:$L$254,B65,'Data - SAP Issues'!$E$4:$E$254,A65)/SUMIFS('Job Costing'!$C$5:$C$23,'Job Costing'!$B$5:$B$23,B65)</f>
        <v>3.85714285714286</v>
      </c>
      <c r="D65" s="41" t="n">
        <f aca="false">ROUND(C65,0)</f>
        <v>4</v>
      </c>
    </row>
    <row r="66" customFormat="false" ht="15" hidden="false" customHeight="false" outlineLevel="0" collapsed="false">
      <c r="A66" s="23" t="s">
        <v>219</v>
      </c>
      <c r="B66" s="23" t="n">
        <v>2400</v>
      </c>
      <c r="C66" s="37" t="n">
        <f aca="false">SUMIFS('Data - SAP Issues'!$F$4:$F$254,'Data - SAP Issues'!$L$4:$L$254,B66,'Data - SAP Issues'!$E$4:$E$254,A66)/SUMIFS('Job Costing'!$C$5:$C$23,'Job Costing'!$B$5:$B$23,B66)</f>
        <v>4.5</v>
      </c>
      <c r="D66" s="41" t="n">
        <f aca="false">ROUND(C66,0)</f>
        <v>5</v>
      </c>
    </row>
    <row r="67" customFormat="false" ht="15" hidden="false" customHeight="false" outlineLevel="0" collapsed="false">
      <c r="A67" s="23" t="s">
        <v>220</v>
      </c>
      <c r="B67" s="23" t="n">
        <v>2400</v>
      </c>
      <c r="C67" s="37" t="n">
        <f aca="false">SUMIFS('Data - SAP Issues'!$F$4:$F$254,'Data - SAP Issues'!$L$4:$L$254,B67,'Data - SAP Issues'!$E$4:$E$254,A67)/SUMIFS('Job Costing'!$C$5:$C$23,'Job Costing'!$B$5:$B$23,B67)</f>
        <v>6.07142857142857</v>
      </c>
      <c r="D67" s="41" t="n">
        <f aca="false">ROUND(C67,0)</f>
        <v>6</v>
      </c>
    </row>
    <row r="68" customFormat="false" ht="15" hidden="false" customHeight="false" outlineLevel="0" collapsed="false">
      <c r="A68" s="23" t="s">
        <v>221</v>
      </c>
      <c r="B68" s="23" t="n">
        <v>2600</v>
      </c>
      <c r="C68" s="37" t="n">
        <f aca="false">SUMIFS('Data - SAP Issues'!$F$4:$F$254,'Data - SAP Issues'!$L$4:$L$254,B68,'Data - SAP Issues'!$E$4:$E$254,A68)/SUMIFS('Job Costing'!$C$5:$C$23,'Job Costing'!$B$5:$B$23,B68)</f>
        <v>7.25</v>
      </c>
      <c r="D68" s="41" t="n">
        <f aca="false">ROUND(C68,0)</f>
        <v>7</v>
      </c>
    </row>
    <row r="69" customFormat="false" ht="15" hidden="false" customHeight="false" outlineLevel="0" collapsed="false">
      <c r="A69" s="23" t="s">
        <v>204</v>
      </c>
      <c r="B69" s="23" t="n">
        <v>2600</v>
      </c>
      <c r="C69" s="37" t="n">
        <f aca="false">SUMIFS('Data - SAP Issues'!$F$4:$F$254,'Data - SAP Issues'!$L$4:$L$254,B69,'Data - SAP Issues'!$E$4:$E$254,A69)/SUMIFS('Job Costing'!$C$5:$C$23,'Job Costing'!$B$5:$B$23,B69)</f>
        <v>6.5</v>
      </c>
      <c r="D69" s="41" t="n">
        <f aca="false">ROUND(C69,0)</f>
        <v>7</v>
      </c>
    </row>
    <row r="70" customFormat="false" ht="15" hidden="false" customHeight="false" outlineLevel="0" collapsed="false">
      <c r="A70" s="23" t="s">
        <v>222</v>
      </c>
      <c r="B70" s="23" t="n">
        <v>2600</v>
      </c>
      <c r="C70" s="37" t="n">
        <f aca="false">SUMIFS('Data - SAP Issues'!$F$4:$F$254,'Data - SAP Issues'!$L$4:$L$254,B70,'Data - SAP Issues'!$E$4:$E$254,A70)/SUMIFS('Job Costing'!$C$5:$C$23,'Job Costing'!$B$5:$B$23,B70)</f>
        <v>3.5</v>
      </c>
      <c r="D70" s="41" t="n">
        <f aca="false">ROUND(C70,0)</f>
        <v>4</v>
      </c>
    </row>
    <row r="71" customFormat="false" ht="15" hidden="false" customHeight="false" outlineLevel="0" collapsed="false">
      <c r="A71" s="23" t="s">
        <v>223</v>
      </c>
      <c r="B71" s="23" t="n">
        <v>2600</v>
      </c>
      <c r="C71" s="37" t="n">
        <f aca="false">SUMIFS('Data - SAP Issues'!$F$4:$F$254,'Data - SAP Issues'!$L$4:$L$254,B71,'Data - SAP Issues'!$E$4:$E$254,A71)/SUMIFS('Job Costing'!$C$5:$C$23,'Job Costing'!$B$5:$B$23,B71)</f>
        <v>4.16666666666667</v>
      </c>
      <c r="D71" s="41" t="n">
        <f aca="false">ROUND(C71,0)</f>
        <v>4</v>
      </c>
    </row>
    <row r="72" customFormat="false" ht="15" hidden="false" customHeight="false" outlineLevel="0" collapsed="false">
      <c r="A72" s="23" t="s">
        <v>220</v>
      </c>
      <c r="B72" s="23" t="n">
        <v>2600</v>
      </c>
      <c r="C72" s="37" t="n">
        <f aca="false">SUMIFS('Data - SAP Issues'!$F$4:$F$254,'Data - SAP Issues'!$L$4:$L$254,B72,'Data - SAP Issues'!$E$4:$E$254,A72)/SUMIFS('Job Costing'!$C$5:$C$23,'Job Costing'!$B$5:$B$23,B72)</f>
        <v>6.41666666666667</v>
      </c>
      <c r="D72" s="41" t="n">
        <f aca="false">ROUND(C72,0)</f>
        <v>6</v>
      </c>
    </row>
    <row r="73" customFormat="false" ht="15" hidden="false" customHeight="false" outlineLevel="0" collapsed="false">
      <c r="A73" s="23" t="s">
        <v>224</v>
      </c>
      <c r="B73" s="23" t="n">
        <v>3000</v>
      </c>
      <c r="C73" s="37" t="n">
        <f aca="false">SUMIFS('Data - SAP Issues'!$F$4:$F$254,'Data - SAP Issues'!$L$4:$L$254,B73,'Data - SAP Issues'!$E$4:$E$254,A73)/SUMIFS('Job Costing'!$C$5:$C$23,'Job Costing'!$B$5:$B$23,B73)</f>
        <v>6.66666666666667</v>
      </c>
      <c r="D73" s="41" t="n">
        <f aca="false">ROUND(C73,0)</f>
        <v>7</v>
      </c>
    </row>
    <row r="74" customFormat="false" ht="15" hidden="false" customHeight="false" outlineLevel="0" collapsed="false">
      <c r="A74" s="23" t="s">
        <v>204</v>
      </c>
      <c r="B74" s="23" t="n">
        <v>3000</v>
      </c>
      <c r="C74" s="37" t="n">
        <f aca="false">SUMIFS('Data - SAP Issues'!$F$4:$F$254,'Data - SAP Issues'!$L$4:$L$254,B74,'Data - SAP Issues'!$E$4:$E$254,A74)/SUMIFS('Job Costing'!$C$5:$C$23,'Job Costing'!$B$5:$B$23,B74)</f>
        <v>5</v>
      </c>
      <c r="D74" s="41" t="n">
        <f aca="false">ROUND(C74,0)</f>
        <v>5</v>
      </c>
    </row>
    <row r="75" customFormat="false" ht="15" hidden="false" customHeight="false" outlineLevel="0" collapsed="false">
      <c r="A75" s="23" t="s">
        <v>225</v>
      </c>
      <c r="B75" s="23" t="n">
        <v>3000</v>
      </c>
      <c r="C75" s="37" t="n">
        <f aca="false">SUMIFS('Data - SAP Issues'!$F$4:$F$254,'Data - SAP Issues'!$L$4:$L$254,B75,'Data - SAP Issues'!$E$4:$E$254,A75)/SUMIFS('Job Costing'!$C$5:$C$23,'Job Costing'!$B$5:$B$23,B75)</f>
        <v>3</v>
      </c>
      <c r="D75" s="41" t="n">
        <f aca="false">ROUND(C75,0)</f>
        <v>3</v>
      </c>
    </row>
    <row r="76" customFormat="false" ht="15" hidden="false" customHeight="false" outlineLevel="0" collapsed="false">
      <c r="A76" s="23" t="s">
        <v>226</v>
      </c>
      <c r="B76" s="23" t="n">
        <v>3000</v>
      </c>
      <c r="C76" s="37" t="n">
        <f aca="false">SUMIFS('Data - SAP Issues'!$F$4:$F$254,'Data - SAP Issues'!$L$4:$L$254,B76,'Data - SAP Issues'!$E$4:$E$254,A76)/SUMIFS('Job Costing'!$C$5:$C$23,'Job Costing'!$B$5:$B$23,B76)</f>
        <v>4</v>
      </c>
      <c r="D76" s="41" t="n">
        <f aca="false">ROUND(C76,0)</f>
        <v>4</v>
      </c>
    </row>
    <row r="77" customFormat="false" ht="15" hidden="false" customHeight="false" outlineLevel="0" collapsed="false">
      <c r="A77" s="23" t="s">
        <v>220</v>
      </c>
      <c r="B77" s="23" t="n">
        <v>3000</v>
      </c>
      <c r="C77" s="37" t="n">
        <f aca="false">SUMIFS('Data - SAP Issues'!$F$4:$F$254,'Data - SAP Issues'!$L$4:$L$254,B77,'Data - SAP Issues'!$E$4:$E$254,A77)/SUMIFS('Job Costing'!$C$5:$C$23,'Job Costing'!$B$5:$B$23,B77)</f>
        <v>5.66666666666667</v>
      </c>
      <c r="D77" s="41" t="n">
        <f aca="false">ROUND(C77,0)</f>
        <v>6</v>
      </c>
    </row>
    <row r="79" customFormat="false" ht="15" hidden="false" customHeight="false" outlineLevel="0" collapsed="false">
      <c r="A79" s="3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9" min="3" style="0" width="11"/>
    <col collapsed="false" customWidth="true" hidden="false" outlineLevel="0" max="10" min="10" style="0" width="3"/>
    <col collapsed="false" customWidth="true" hidden="false" outlineLevel="0" max="11" min="11" style="0" width="42"/>
  </cols>
  <sheetData>
    <row r="1" customFormat="false" ht="17.35" hidden="false" customHeight="false" outlineLevel="0" collapsed="false">
      <c r="A1" s="16" t="s">
        <v>228</v>
      </c>
    </row>
    <row r="2" customFormat="false" ht="15" hidden="false" customHeight="false" outlineLevel="0" collapsed="false">
      <c r="A2" s="2" t="s">
        <v>229</v>
      </c>
    </row>
    <row r="4" customFormat="false" ht="15" hidden="false" customHeight="false" outlineLevel="0" collapsed="false">
      <c r="A4" s="40" t="s">
        <v>84</v>
      </c>
      <c r="C4" s="43" t="n">
        <v>1400</v>
      </c>
      <c r="D4" s="43" t="n">
        <v>1600</v>
      </c>
      <c r="E4" s="43" t="n">
        <v>1800</v>
      </c>
      <c r="F4" s="43" t="n">
        <v>2000</v>
      </c>
      <c r="G4" s="43" t="n">
        <v>2400</v>
      </c>
      <c r="H4" s="43" t="n">
        <v>2600</v>
      </c>
      <c r="I4" s="43" t="n">
        <v>3000</v>
      </c>
    </row>
    <row r="5" customFormat="false" ht="15" hidden="false" customHeight="false" outlineLevel="0" collapsed="false">
      <c r="A5" s="20" t="s">
        <v>103</v>
      </c>
      <c r="C5" s="20" t="str">
        <f aca="false">VLOOKUP(C$4,Inputs!$A$54:$L$60,11,0)</f>
        <v>40HC</v>
      </c>
      <c r="D5" s="20" t="str">
        <f aca="false">VLOOKUP(D$4,Inputs!$A$54:$L$60,11,0)</f>
        <v>40HC</v>
      </c>
      <c r="E5" s="20" t="str">
        <f aca="false">VLOOKUP(E$4,Inputs!$A$54:$L$60,11,0)</f>
        <v>40HC</v>
      </c>
      <c r="F5" s="20" t="str">
        <f aca="false">VLOOKUP(F$4,Inputs!$A$54:$L$60,11,0)</f>
        <v>40HC</v>
      </c>
      <c r="G5" s="20" t="str">
        <f aca="false">VLOOKUP(G$4,Inputs!$A$54:$L$60,11,0)</f>
        <v>Flat rack</v>
      </c>
      <c r="H5" s="20" t="str">
        <f aca="false">VLOOKUP(H$4,Inputs!$A$54:$L$60,11,0)</f>
        <v>Flat rack</v>
      </c>
      <c r="I5" s="20" t="str">
        <f aca="false">VLOOKUP(I$4,Inputs!$A$54:$L$60,11,0)</f>
        <v>Flat rack</v>
      </c>
    </row>
    <row r="6" customFormat="false" ht="15" hidden="false" customHeight="false" outlineLevel="0" collapsed="false">
      <c r="A6" s="20" t="s">
        <v>230</v>
      </c>
      <c r="C6" s="44" t="n">
        <f aca="false">VLOOKUP(C$4,Inputs!$A$54:$L$60,12,0)</f>
        <v>3</v>
      </c>
      <c r="D6" s="44" t="n">
        <f aca="false">VLOOKUP(D$4,Inputs!$A$54:$L$60,12,0)</f>
        <v>3</v>
      </c>
      <c r="E6" s="44" t="n">
        <f aca="false">VLOOKUP(E$4,Inputs!$A$54:$L$60,12,0)</f>
        <v>3</v>
      </c>
      <c r="F6" s="44" t="n">
        <f aca="false">VLOOKUP(F$4,Inputs!$A$54:$L$60,12,0)</f>
        <v>3</v>
      </c>
      <c r="G6" s="44" t="str">
        <f aca="false">VLOOKUP(G$4,Inputs!$A$54:$L$60,12,0)</f>
        <v>-</v>
      </c>
      <c r="H6" s="44" t="str">
        <f aca="false">VLOOKUP(H$4,Inputs!$A$54:$L$60,12,0)</f>
        <v>-</v>
      </c>
      <c r="I6" s="44" t="str">
        <f aca="false">VLOOKUP(I$4,Inputs!$A$54:$L$60,12,0)</f>
        <v>-</v>
      </c>
    </row>
    <row r="7" customFormat="false" ht="15" hidden="false" customHeight="false" outlineLevel="0" collapsed="false">
      <c r="A7" s="4" t="s">
        <v>231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20" t="s">
        <v>140</v>
      </c>
      <c r="C8" s="36" t="n">
        <f aca="false">'Proposed Std'!C20</f>
        <v>5518.3439025</v>
      </c>
      <c r="D8" s="36" t="n">
        <f aca="false">'Proposed Std'!D20</f>
        <v>6365.598525</v>
      </c>
      <c r="E8" s="36" t="n">
        <f aca="false">'Proposed Std'!E20</f>
        <v>5966.4336875</v>
      </c>
      <c r="F8" s="36" t="n">
        <f aca="false">'Proposed Std'!F20</f>
        <v>5658.1185375</v>
      </c>
      <c r="G8" s="36" t="n">
        <f aca="false">'Proposed Std'!G20</f>
        <v>12164.4999241071</v>
      </c>
      <c r="H8" s="36" t="n">
        <f aca="false">'Proposed Std'!H20</f>
        <v>13041.32919375</v>
      </c>
      <c r="I8" s="36" t="n">
        <f aca="false">'Proposed Std'!I20</f>
        <v>13074.8957625</v>
      </c>
    </row>
    <row r="9" customFormat="false" ht="15" hidden="false" customHeight="false" outlineLevel="0" collapsed="false">
      <c r="A9" s="20" t="s">
        <v>141</v>
      </c>
      <c r="C9" s="36" t="n">
        <f aca="false">'Proposed Std'!C29-'Proposed Std'!C20</f>
        <v>5420.4406779661</v>
      </c>
      <c r="D9" s="36" t="n">
        <f aca="false">'Proposed Std'!D29-'Proposed Std'!D20</f>
        <v>6062.95480225989</v>
      </c>
      <c r="E9" s="36" t="n">
        <f aca="false">'Proposed Std'!E29-'Proposed Std'!E20</f>
        <v>5547.01694915254</v>
      </c>
      <c r="F9" s="36" t="n">
        <f aca="false">'Proposed Std'!F29-'Proposed Std'!F20</f>
        <v>4769.1392251816</v>
      </c>
      <c r="G9" s="36" t="n">
        <f aca="false">'Proposed Std'!G29-'Proposed Std'!G20</f>
        <v>11085.4987893462</v>
      </c>
      <c r="H9" s="36" t="n">
        <f aca="false">'Proposed Std'!H29-'Proposed Std'!H20</f>
        <v>13059.3587570621</v>
      </c>
      <c r="I9" s="36" t="n">
        <f aca="false">'Proposed Std'!I29-'Proposed Std'!I20</f>
        <v>16247.6892655367</v>
      </c>
    </row>
    <row r="10" customFormat="false" ht="15" hidden="false" customHeight="false" outlineLevel="0" collapsed="false">
      <c r="A10" s="20" t="s">
        <v>232</v>
      </c>
      <c r="C10" s="36" t="n">
        <f aca="false">'Proposed Std'!C21</f>
        <v>118.8</v>
      </c>
      <c r="D10" s="36" t="n">
        <f aca="false">'Proposed Std'!D21</f>
        <v>165</v>
      </c>
      <c r="E10" s="36" t="n">
        <f aca="false">'Proposed Std'!E21</f>
        <v>132</v>
      </c>
      <c r="F10" s="36" t="n">
        <f aca="false">'Proposed Std'!F21</f>
        <v>106.071428571429</v>
      </c>
      <c r="G10" s="36" t="n">
        <f aca="false">'Proposed Std'!G21</f>
        <v>240.428571428571</v>
      </c>
      <c r="H10" s="36" t="n">
        <f aca="false">'Proposed Std'!H21</f>
        <v>231</v>
      </c>
      <c r="I10" s="36" t="n">
        <f aca="false">'Proposed Std'!I21</f>
        <v>297</v>
      </c>
    </row>
    <row r="11" customFormat="false" ht="15" hidden="false" customHeight="false" outlineLevel="0" collapsed="false">
      <c r="A11" s="40" t="s">
        <v>143</v>
      </c>
      <c r="C11" s="38" t="n">
        <f aca="false">C8+C9</f>
        <v>10938.7845804661</v>
      </c>
      <c r="D11" s="38" t="n">
        <f aca="false">D8+D9</f>
        <v>12428.5533272599</v>
      </c>
      <c r="E11" s="38" t="n">
        <f aca="false">E8+E9</f>
        <v>11513.4506366525</v>
      </c>
      <c r="F11" s="38" t="n">
        <f aca="false">F8+F9</f>
        <v>10427.2577626816</v>
      </c>
      <c r="G11" s="38" t="n">
        <f aca="false">G8+G9</f>
        <v>23249.9987134534</v>
      </c>
      <c r="H11" s="38" t="n">
        <f aca="false">H8+H9</f>
        <v>26100.6879508122</v>
      </c>
      <c r="I11" s="38" t="n">
        <f aca="false">I8+I9</f>
        <v>29322.5850280367</v>
      </c>
    </row>
    <row r="12" customFormat="false" ht="15" hidden="false" customHeight="false" outlineLevel="0" collapsed="false">
      <c r="A12" s="20" t="s">
        <v>233</v>
      </c>
      <c r="C12" s="37" t="n">
        <f aca="false">AVERAGEIFS('Job Costing'!$M$5:$M$23,'Job Costing'!$B$5:$B$23,C$4)</f>
        <v>3.5</v>
      </c>
      <c r="D12" s="37" t="n">
        <f aca="false">AVERAGEIFS('Job Costing'!$M$5:$M$23,'Job Costing'!$B$5:$B$23,D$4)</f>
        <v>4.625</v>
      </c>
      <c r="E12" s="37" t="n">
        <f aca="false">AVERAGEIFS('Job Costing'!$M$5:$M$23,'Job Costing'!$B$5:$B$23,E$4)</f>
        <v>4.75</v>
      </c>
      <c r="F12" s="37" t="n">
        <f aca="false">AVERAGEIFS('Job Costing'!$M$5:$M$23,'Job Costing'!$B$5:$B$23,F$4)</f>
        <v>3.75</v>
      </c>
      <c r="G12" s="37" t="n">
        <f aca="false">AVERAGEIFS('Job Costing'!$M$5:$M$23,'Job Costing'!$B$5:$B$23,G$4)</f>
        <v>9.81666666666667</v>
      </c>
      <c r="H12" s="37" t="n">
        <f aca="false">AVERAGEIFS('Job Costing'!$M$5:$M$23,'Job Costing'!$B$5:$B$23,H$4)</f>
        <v>8.875</v>
      </c>
      <c r="I12" s="37" t="n">
        <f aca="false">AVERAGEIFS('Job Costing'!$M$5:$M$23,'Job Costing'!$B$5:$B$23,I$4)</f>
        <v>10.6666666666667</v>
      </c>
      <c r="K12" s="3" t="s">
        <v>234</v>
      </c>
    </row>
    <row r="13" customFormat="false" ht="15" hidden="false" customHeight="false" outlineLevel="0" collapsed="false">
      <c r="A13" s="20" t="s">
        <v>235</v>
      </c>
      <c r="C13" s="37" t="n">
        <f aca="false">AVERAGEIFS('Job Costing'!$N$5:$N$23,'Job Costing'!$B$5:$B$23,C$4)</f>
        <v>8.83333333333333</v>
      </c>
      <c r="D13" s="37" t="n">
        <f aca="false">AVERAGEIFS('Job Costing'!$N$5:$N$23,'Job Costing'!$B$5:$B$23,D$4)</f>
        <v>9.625</v>
      </c>
      <c r="E13" s="37" t="n">
        <f aca="false">AVERAGEIFS('Job Costing'!$N$5:$N$23,'Job Costing'!$B$5:$B$23,E$4)</f>
        <v>10.125</v>
      </c>
      <c r="F13" s="37" t="n">
        <f aca="false">AVERAGEIFS('Job Costing'!$N$5:$N$23,'Job Costing'!$B$5:$B$23,F$4)</f>
        <v>9.51666666666667</v>
      </c>
      <c r="G13" s="37" t="n">
        <f aca="false">AVERAGEIFS('Job Costing'!$N$5:$N$23,'Job Costing'!$B$5:$B$23,G$4)</f>
        <v>18.95</v>
      </c>
      <c r="H13" s="37" t="n">
        <f aca="false">AVERAGEIFS('Job Costing'!$N$5:$N$23,'Job Costing'!$B$5:$B$23,H$4)</f>
        <v>20.5208333333333</v>
      </c>
      <c r="I13" s="37" t="n">
        <f aca="false">AVERAGEIFS('Job Costing'!$N$5:$N$23,'Job Costing'!$B$5:$B$23,I$4)</f>
        <v>24</v>
      </c>
    </row>
    <row r="14" customFormat="false" ht="15" hidden="false" customHeight="false" outlineLevel="0" collapsed="false">
      <c r="A14" s="20" t="s">
        <v>151</v>
      </c>
      <c r="C14" s="36" t="n">
        <f aca="false">(C12*Inputs!$C$16+C13*Inputs!$C$17)/Inputs!$C$21*(1+Inputs!$C$20)</f>
        <v>968</v>
      </c>
      <c r="D14" s="36" t="n">
        <f aca="false">(D12*Inputs!$C$16+D13*Inputs!$C$17)/Inputs!$C$21*(1+Inputs!$C$20)</f>
        <v>1144</v>
      </c>
      <c r="E14" s="36" t="n">
        <f aca="false">(E12*Inputs!$C$16+E13*Inputs!$C$17)/Inputs!$C$21*(1+Inputs!$C$20)</f>
        <v>1190.75</v>
      </c>
      <c r="F14" s="36" t="n">
        <f aca="false">(F12*Inputs!$C$16+F13*Inputs!$C$17)/Inputs!$C$21*(1+Inputs!$C$20)</f>
        <v>1040.6</v>
      </c>
      <c r="G14" s="36" t="n">
        <f aca="false">(G12*Inputs!$C$16+G13*Inputs!$C$17)/Inputs!$C$21*(1+Inputs!$C$20)</f>
        <v>2330.53333333333</v>
      </c>
      <c r="H14" s="36" t="n">
        <f aca="false">(H12*Inputs!$C$16+H13*Inputs!$C$17)/Inputs!$C$21*(1+Inputs!$C$20)</f>
        <v>2330.625</v>
      </c>
      <c r="I14" s="36" t="n">
        <f aca="false">(I12*Inputs!$C$16+I13*Inputs!$C$17)/Inputs!$C$21*(1+Inputs!$C$20)</f>
        <v>2757.33333333333</v>
      </c>
    </row>
    <row r="15" customFormat="false" ht="15" hidden="false" customHeight="false" outlineLevel="0" collapsed="false">
      <c r="A15" s="20" t="s">
        <v>236</v>
      </c>
      <c r="C15" s="36" t="n">
        <f aca="false">C13*Inputs!$C$17/Inputs!$C$21*(1+Inputs!$C$20)</f>
        <v>583</v>
      </c>
      <c r="D15" s="36" t="n">
        <f aca="false">D13*Inputs!$C$17/Inputs!$C$21*(1+Inputs!$C$20)</f>
        <v>635.25</v>
      </c>
      <c r="E15" s="36" t="n">
        <f aca="false">E13*Inputs!$C$17/Inputs!$C$21*(1+Inputs!$C$20)</f>
        <v>668.25</v>
      </c>
      <c r="F15" s="36" t="n">
        <f aca="false">F13*Inputs!$C$17/Inputs!$C$21*(1+Inputs!$C$20)</f>
        <v>628.1</v>
      </c>
      <c r="G15" s="36" t="n">
        <f aca="false">G13*Inputs!$C$17/Inputs!$C$21*(1+Inputs!$C$20)</f>
        <v>1250.7</v>
      </c>
      <c r="H15" s="36" t="n">
        <f aca="false">H13*Inputs!$C$17/Inputs!$C$21*(1+Inputs!$C$20)</f>
        <v>1354.375</v>
      </c>
      <c r="I15" s="36" t="n">
        <f aca="false">I13*Inputs!$C$17/Inputs!$C$21*(1+Inputs!$C$20)</f>
        <v>1584</v>
      </c>
    </row>
    <row r="16" customFormat="false" ht="15" hidden="false" customHeight="false" outlineLevel="0" collapsed="false">
      <c r="A16" s="4" t="s">
        <v>237</v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20" t="s">
        <v>6</v>
      </c>
      <c r="C17" s="44" t="n">
        <f aca="false">Dashboard!$D$7</f>
        <v>4</v>
      </c>
      <c r="D17" s="44" t="n">
        <f aca="false">Dashboard!$D$7</f>
        <v>4</v>
      </c>
      <c r="E17" s="44" t="n">
        <f aca="false">Dashboard!$D$7</f>
        <v>4</v>
      </c>
      <c r="F17" s="44" t="n">
        <f aca="false">Dashboard!$D$7</f>
        <v>4</v>
      </c>
      <c r="G17" s="44" t="n">
        <f aca="false">Dashboard!$D$7</f>
        <v>4</v>
      </c>
      <c r="H17" s="44" t="n">
        <f aca="false">Dashboard!$D$7</f>
        <v>4</v>
      </c>
      <c r="I17" s="44" t="n">
        <f aca="false">Dashboard!$D$7</f>
        <v>4</v>
      </c>
    </row>
    <row r="18" customFormat="false" ht="15" hidden="false" customHeight="false" outlineLevel="0" collapsed="false">
      <c r="A18" s="20" t="s">
        <v>238</v>
      </c>
      <c r="C18" s="36" t="n">
        <f aca="false">IF(C5="40HC",ROUNDUP(C17/C6,0)*Inputs!$C$15,0)</f>
        <v>7000</v>
      </c>
      <c r="D18" s="36" t="n">
        <f aca="false">IF(D5="40HC",ROUNDUP(D17/D6,0)*Inputs!$C$15,0)</f>
        <v>7000</v>
      </c>
      <c r="E18" s="36" t="n">
        <f aca="false">IF(E5="40HC",ROUNDUP(E17/E6,0)*Inputs!$C$15,0)</f>
        <v>7000</v>
      </c>
      <c r="F18" s="36" t="n">
        <f aca="false">IF(F5="40HC",ROUNDUP(F17/F6,0)*Inputs!$C$15,0)</f>
        <v>7000</v>
      </c>
      <c r="G18" s="36" t="n">
        <f aca="false">IF(G5="40HC",ROUNDUP(G17/G6,0)*Inputs!$C$15,0)</f>
        <v>0</v>
      </c>
      <c r="H18" s="36" t="n">
        <f aca="false">IF(H5="40HC",ROUNDUP(H17/H6,0)*Inputs!$C$15,0)</f>
        <v>0</v>
      </c>
      <c r="I18" s="36" t="n">
        <f aca="false">IF(I5="40HC",ROUNDUP(I17/I6,0)*Inputs!$C$15,0)</f>
        <v>0</v>
      </c>
    </row>
    <row r="19" customFormat="false" ht="15" hidden="false" customHeight="false" outlineLevel="0" collapsed="false">
      <c r="A19" s="20" t="s">
        <v>67</v>
      </c>
      <c r="C19" s="36" t="n">
        <f aca="false">Inputs!$C$22</f>
        <v>1025</v>
      </c>
      <c r="D19" s="36" t="n">
        <f aca="false">Inputs!$C$22</f>
        <v>1025</v>
      </c>
      <c r="E19" s="36" t="n">
        <f aca="false">Inputs!$C$22</f>
        <v>1025</v>
      </c>
      <c r="F19" s="36" t="n">
        <f aca="false">Inputs!$C$22</f>
        <v>1025</v>
      </c>
      <c r="G19" s="36" t="n">
        <f aca="false">Inputs!$C$22</f>
        <v>1025</v>
      </c>
      <c r="H19" s="36" t="n">
        <f aca="false">Inputs!$C$22</f>
        <v>1025</v>
      </c>
      <c r="I19" s="36" t="n">
        <f aca="false">Inputs!$C$22</f>
        <v>1025</v>
      </c>
    </row>
    <row r="20" customFormat="false" ht="15" hidden="false" customHeight="false" outlineLevel="0" collapsed="false">
      <c r="A20" s="20" t="s">
        <v>239</v>
      </c>
      <c r="C20" s="36" t="n">
        <f aca="false">(C18+C19)/C17</f>
        <v>2006.25</v>
      </c>
      <c r="D20" s="36" t="n">
        <f aca="false">(D18+D19)/D17</f>
        <v>2006.25</v>
      </c>
      <c r="E20" s="36" t="n">
        <f aca="false">(E18+E19)/E17</f>
        <v>2006.25</v>
      </c>
      <c r="F20" s="36" t="n">
        <f aca="false">(F18+F19)/F17</f>
        <v>2006.25</v>
      </c>
      <c r="G20" s="36" t="n">
        <f aca="false">(G18+G19)/G17</f>
        <v>256.25</v>
      </c>
      <c r="H20" s="36" t="n">
        <f aca="false">(H18+H19)/H17</f>
        <v>256.25</v>
      </c>
      <c r="I20" s="36" t="n">
        <f aca="false">(I18+I19)/I17</f>
        <v>256.25</v>
      </c>
    </row>
    <row r="21" customFormat="false" ht="15" hidden="false" customHeight="false" outlineLevel="0" collapsed="false">
      <c r="A21" s="4" t="s">
        <v>240</v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40" t="s">
        <v>241</v>
      </c>
      <c r="C22" s="38" t="n">
        <f aca="false">C11+C14+C20</f>
        <v>13913.0345804661</v>
      </c>
      <c r="D22" s="38" t="n">
        <f aca="false">D11+D14+D20</f>
        <v>15578.8033272599</v>
      </c>
      <c r="E22" s="38" t="n">
        <f aca="false">E11+E14+E20</f>
        <v>14710.4506366525</v>
      </c>
      <c r="F22" s="38" t="n">
        <f aca="false">F11+F14+F20</f>
        <v>13474.1077626816</v>
      </c>
      <c r="G22" s="38" t="n">
        <f aca="false">G11+G14+G20</f>
        <v>25836.7820467867</v>
      </c>
      <c r="H22" s="38" t="n">
        <f aca="false">H11+H14+H20</f>
        <v>28687.5629508122</v>
      </c>
      <c r="I22" s="38" t="n">
        <f aca="false">I11+I14+I20</f>
        <v>32336.1683613701</v>
      </c>
    </row>
    <row r="23" customFormat="false" ht="15" hidden="false" customHeight="false" outlineLevel="0" collapsed="false">
      <c r="A23" s="20" t="s">
        <v>242</v>
      </c>
      <c r="C23" s="44" t="n">
        <f aca="false">ROUNDUP(C17*(C12+C13)/Inputs!$C$23,0)</f>
        <v>3</v>
      </c>
      <c r="D23" s="44" t="n">
        <f aca="false">ROUNDUP(D17*(D12+D13)/Inputs!$C$23,0)</f>
        <v>3</v>
      </c>
      <c r="E23" s="44" t="n">
        <f aca="false">ROUNDUP(E17*(E12+E13)/Inputs!$C$23,0)</f>
        <v>3</v>
      </c>
      <c r="F23" s="44" t="n">
        <f aca="false">ROUNDUP(F17*(F12+F13)/Inputs!$C$23,0)</f>
        <v>3</v>
      </c>
      <c r="G23" s="44" t="n">
        <f aca="false">ROUNDUP(G17*(G12+G13)/Inputs!$C$23,0)</f>
        <v>5</v>
      </c>
      <c r="H23" s="44" t="n">
        <f aca="false">ROUNDUP(H17*(H12+H13)/Inputs!$C$23,0)</f>
        <v>5</v>
      </c>
      <c r="I23" s="44" t="n">
        <f aca="false">ROUNDUP(I17*(I12+I13)/Inputs!$C$23,0)</f>
        <v>6</v>
      </c>
    </row>
    <row r="24" customFormat="false" ht="15" hidden="false" customHeight="false" outlineLevel="0" collapsed="false">
      <c r="A24" s="20" t="s">
        <v>243</v>
      </c>
      <c r="C24" s="36" t="n">
        <f aca="false">C22+C23*Inputs!$C$26/C17</f>
        <v>13913.0345804661</v>
      </c>
      <c r="D24" s="36" t="n">
        <f aca="false">D22+D23*Inputs!$C$26/D17</f>
        <v>15578.8033272599</v>
      </c>
      <c r="E24" s="36" t="n">
        <f aca="false">E22+E23*Inputs!$C$26/E17</f>
        <v>14710.4506366525</v>
      </c>
      <c r="F24" s="36" t="n">
        <f aca="false">F22+F23*Inputs!$C$26/F17</f>
        <v>13474.1077626816</v>
      </c>
      <c r="G24" s="36" t="n">
        <f aca="false">G22+G23*Inputs!$C$26/G17</f>
        <v>25836.7820467867</v>
      </c>
      <c r="H24" s="36" t="n">
        <f aca="false">H22+H23*Inputs!$C$26/H17</f>
        <v>28687.5629508122</v>
      </c>
      <c r="I24" s="36" t="n">
        <f aca="false">I22+I23*Inputs!$C$26/I17</f>
        <v>32336.1683613701</v>
      </c>
    </row>
    <row r="25" customFormat="false" ht="15" hidden="false" customHeight="false" outlineLevel="0" collapsed="false">
      <c r="A25" s="4" t="s">
        <v>244</v>
      </c>
      <c r="B25" s="5"/>
      <c r="C25" s="5"/>
      <c r="D25" s="5"/>
      <c r="E25" s="5"/>
      <c r="F25" s="5"/>
      <c r="G25" s="5"/>
      <c r="H25" s="5"/>
      <c r="I25" s="5"/>
    </row>
    <row r="26" customFormat="false" ht="15" hidden="false" customHeight="false" outlineLevel="0" collapsed="false">
      <c r="A26" s="20" t="s">
        <v>245</v>
      </c>
      <c r="C26" s="36" t="n">
        <f aca="false">VLOOKUP(C$4,Inputs!$A$41:$D$47,2,0)</f>
        <v>800</v>
      </c>
      <c r="D26" s="36" t="n">
        <f aca="false">VLOOKUP(D$4,Inputs!$A$41:$D$47,2,0)</f>
        <v>900</v>
      </c>
      <c r="E26" s="36" t="n">
        <f aca="false">VLOOKUP(E$4,Inputs!$A$41:$D$47,2,0)</f>
        <v>1100</v>
      </c>
      <c r="F26" s="36" t="n">
        <f aca="false">VLOOKUP(F$4,Inputs!$A$41:$D$47,2,0)</f>
        <v>1000</v>
      </c>
      <c r="G26" s="36" t="n">
        <f aca="false">VLOOKUP(G$4,Inputs!$A$41:$D$47,2,0)</f>
        <v>2200</v>
      </c>
      <c r="H26" s="36" t="n">
        <f aca="false">VLOOKUP(H$4,Inputs!$A$41:$D$47,2,0)</f>
        <v>2300</v>
      </c>
      <c r="I26" s="36" t="n">
        <f aca="false">VLOOKUP(I$4,Inputs!$A$41:$D$47,2,0)</f>
        <v>2700</v>
      </c>
    </row>
    <row r="27" customFormat="false" ht="15" hidden="false" customHeight="false" outlineLevel="0" collapsed="false">
      <c r="A27" s="40" t="s">
        <v>241</v>
      </c>
      <c r="C27" s="38" t="n">
        <f aca="false">C11+C26+Inputs!$C$48/C17+C20</f>
        <v>14370.0345804661</v>
      </c>
      <c r="D27" s="38" t="n">
        <f aca="false">D11+D26+Inputs!$C$48/D17+D20</f>
        <v>15959.8033272599</v>
      </c>
      <c r="E27" s="38" t="n">
        <f aca="false">E11+E26+Inputs!$C$48/E17+E20</f>
        <v>15244.7006366525</v>
      </c>
      <c r="F27" s="38" t="n">
        <f aca="false">F11+F26+Inputs!$C$48/F17+F20</f>
        <v>14058.5077626816</v>
      </c>
      <c r="G27" s="38" t="n">
        <f aca="false">G11+G26+Inputs!$C$48/G17+G20</f>
        <v>26331.2487134534</v>
      </c>
      <c r="H27" s="38" t="n">
        <f aca="false">H11+H26+Inputs!$C$48/H17+H20</f>
        <v>29281.9379508122</v>
      </c>
      <c r="I27" s="38" t="n">
        <f aca="false">I11+I26+Inputs!$C$48/I17+I20</f>
        <v>32903.8350280367</v>
      </c>
    </row>
    <row r="28" customFormat="false" ht="15" hidden="false" customHeight="false" outlineLevel="0" collapsed="false">
      <c r="A28" s="20" t="s">
        <v>243</v>
      </c>
      <c r="C28" s="36" t="n">
        <f aca="false">C27+C23*Inputs!$C$26/C17</f>
        <v>14370.0345804661</v>
      </c>
      <c r="D28" s="36" t="n">
        <f aca="false">D27+D23*Inputs!$C$26/D17</f>
        <v>15959.8033272599</v>
      </c>
      <c r="E28" s="36" t="n">
        <f aca="false">E27+E23*Inputs!$C$26/E17</f>
        <v>15244.7006366525</v>
      </c>
      <c r="F28" s="36" t="n">
        <f aca="false">F27+F23*Inputs!$C$26/F17</f>
        <v>14058.5077626816</v>
      </c>
      <c r="G28" s="36" t="n">
        <f aca="false">G27+G23*Inputs!$C$26/G17</f>
        <v>26331.2487134534</v>
      </c>
      <c r="H28" s="36" t="n">
        <f aca="false">H27+H23*Inputs!$C$26/H17</f>
        <v>29281.9379508122</v>
      </c>
      <c r="I28" s="36" t="n">
        <f aca="false">I27+I23*Inputs!$C$26/I17</f>
        <v>32903.8350280367</v>
      </c>
    </row>
    <row r="29" customFormat="false" ht="15" hidden="false" customHeight="false" outlineLevel="0" collapsed="false">
      <c r="A29" s="4" t="s">
        <v>246</v>
      </c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A30" s="20" t="s">
        <v>247</v>
      </c>
      <c r="C30" s="36" t="n">
        <f aca="false">VLOOKUP(C$4,Inputs!$A$41:$D$47,3,0)</f>
        <v>6400</v>
      </c>
      <c r="D30" s="36" t="n">
        <f aca="false">VLOOKUP(D$4,Inputs!$A$41:$D$47,3,0)</f>
        <v>6850</v>
      </c>
      <c r="E30" s="36" t="n">
        <f aca="false">VLOOKUP(E$4,Inputs!$A$41:$D$47,3,0)</f>
        <v>7350</v>
      </c>
      <c r="F30" s="36" t="n">
        <f aca="false">VLOOKUP(F$4,Inputs!$A$41:$D$47,3,0)</f>
        <v>7200</v>
      </c>
      <c r="G30" s="36" t="n">
        <f aca="false">VLOOKUP(G$4,Inputs!$A$41:$D$47,3,0)</f>
        <v>15050</v>
      </c>
      <c r="H30" s="36" t="n">
        <f aca="false">VLOOKUP(H$4,Inputs!$A$41:$D$47,3,0)</f>
        <v>15900</v>
      </c>
      <c r="I30" s="36" t="n">
        <f aca="false">VLOOKUP(I$4,Inputs!$A$41:$D$47,3,0)</f>
        <v>17350</v>
      </c>
    </row>
    <row r="31" customFormat="false" ht="15" hidden="false" customHeight="false" outlineLevel="0" collapsed="false">
      <c r="A31" s="40" t="s">
        <v>241</v>
      </c>
      <c r="C31" s="38" t="n">
        <f aca="false">C30+C9-C10+C15+ROUNDUP(C17/Inputs!$C$25,0)*Inputs!$C$49/C17+C20</f>
        <v>15190.8906779661</v>
      </c>
      <c r="D31" s="38" t="n">
        <f aca="false">D30+D9-D10+D15+ROUNDUP(D17/Inputs!$C$25,0)*Inputs!$C$49/D17+D20</f>
        <v>16289.4548022599</v>
      </c>
      <c r="E31" s="38" t="n">
        <f aca="false">E30+E9-E10+E15+ROUNDUP(E17/Inputs!$C$25,0)*Inputs!$C$49/E17+E20</f>
        <v>16339.5169491525</v>
      </c>
      <c r="F31" s="38" t="n">
        <f aca="false">F30+F9-F10+F15+ROUNDUP(F17/Inputs!$C$25,0)*Inputs!$C$49/F17+F20</f>
        <v>15397.4177966102</v>
      </c>
      <c r="G31" s="38" t="n">
        <f aca="false">G30+G9-G10+G15+ROUNDUP(G17/Inputs!$C$25,0)*Inputs!$C$49/G17+G20</f>
        <v>28302.0202179177</v>
      </c>
      <c r="H31" s="38" t="n">
        <f aca="false">H30+H9-H10+H15+ROUNDUP(H17/Inputs!$C$25,0)*Inputs!$C$49/H17+H20</f>
        <v>31238.9837570621</v>
      </c>
      <c r="I31" s="38" t="n">
        <f aca="false">I30+I9-I10+I15+ROUNDUP(I17/Inputs!$C$25,0)*Inputs!$C$49/I17+I20</f>
        <v>36040.9392655367</v>
      </c>
    </row>
    <row r="32" customFormat="false" ht="15" hidden="false" customHeight="false" outlineLevel="0" collapsed="false">
      <c r="A32" s="20" t="s">
        <v>242</v>
      </c>
      <c r="C32" s="44" t="n">
        <f aca="false">ROUNDUP(C17*C13/Inputs!$C$23,0)</f>
        <v>2</v>
      </c>
      <c r="D32" s="44" t="n">
        <f aca="false">ROUNDUP(D17*D13/Inputs!$C$23,0)</f>
        <v>2</v>
      </c>
      <c r="E32" s="44" t="n">
        <f aca="false">ROUNDUP(E17*E13/Inputs!$C$23,0)</f>
        <v>2</v>
      </c>
      <c r="F32" s="44" t="n">
        <f aca="false">ROUNDUP(F17*F13/Inputs!$C$23,0)</f>
        <v>2</v>
      </c>
      <c r="G32" s="44" t="n">
        <f aca="false">ROUNDUP(G17*G13/Inputs!$C$23,0)</f>
        <v>4</v>
      </c>
      <c r="H32" s="44" t="n">
        <f aca="false">ROUNDUP(H17*H13/Inputs!$C$23,0)</f>
        <v>4</v>
      </c>
      <c r="I32" s="44" t="n">
        <f aca="false">ROUNDUP(I17*I13/Inputs!$C$23,0)</f>
        <v>4</v>
      </c>
      <c r="K32" s="3" t="s">
        <v>248</v>
      </c>
    </row>
    <row r="33" customFormat="false" ht="15" hidden="false" customHeight="false" outlineLevel="0" collapsed="false">
      <c r="A33" s="20" t="s">
        <v>243</v>
      </c>
      <c r="C33" s="36" t="n">
        <f aca="false">C31+C32*Inputs!$C$26/C17</f>
        <v>15190.8906779661</v>
      </c>
      <c r="D33" s="36" t="n">
        <f aca="false">D31+D32*Inputs!$C$26/D17</f>
        <v>16289.4548022599</v>
      </c>
      <c r="E33" s="36" t="n">
        <f aca="false">E31+E32*Inputs!$C$26/E17</f>
        <v>16339.5169491525</v>
      </c>
      <c r="F33" s="36" t="n">
        <f aca="false">F31+F32*Inputs!$C$26/F17</f>
        <v>15397.4177966102</v>
      </c>
      <c r="G33" s="36" t="n">
        <f aca="false">G31+G32*Inputs!$C$26/G17</f>
        <v>28302.0202179177</v>
      </c>
      <c r="H33" s="36" t="n">
        <f aca="false">H31+H32*Inputs!$C$26/H17</f>
        <v>31238.9837570621</v>
      </c>
      <c r="I33" s="36" t="n">
        <f aca="false">I31+I32*Inputs!$C$26/I17</f>
        <v>36040.9392655367</v>
      </c>
    </row>
    <row r="34" customFormat="false" ht="15" hidden="false" customHeight="false" outlineLevel="0" collapsed="false">
      <c r="A34" s="4" t="s">
        <v>249</v>
      </c>
      <c r="B34" s="5"/>
      <c r="C34" s="5"/>
      <c r="D34" s="5"/>
      <c r="E34" s="5"/>
      <c r="F34" s="5"/>
      <c r="G34" s="5"/>
      <c r="H34" s="5"/>
      <c r="I34" s="5"/>
    </row>
    <row r="35" customFormat="false" ht="15" hidden="false" customHeight="false" outlineLevel="0" collapsed="false">
      <c r="A35" s="20" t="s">
        <v>245</v>
      </c>
      <c r="C35" s="36" t="str">
        <f aca="false">VLOOKUP(C$4,Inputs!$A$41:$D$47,4,0)</f>
        <v>NQ = not quoted (PK-C does not take jobs below 1.8 m)</v>
      </c>
      <c r="D35" s="36" t="str">
        <f aca="false">VLOOKUP(D$4,Inputs!$A$41:$D$47,4,0)</f>
        <v>NQ</v>
      </c>
      <c r="E35" s="36" t="n">
        <f aca="false">VLOOKUP(E$4,Inputs!$A$41:$D$47,4,0)</f>
        <v>15000</v>
      </c>
      <c r="F35" s="36" t="n">
        <f aca="false">VLOOKUP(F$4,Inputs!$A$41:$D$47,4,0)</f>
        <v>14000</v>
      </c>
      <c r="G35" s="36" t="n">
        <f aca="false">VLOOKUP(G$4,Inputs!$A$41:$D$47,4,0)</f>
        <v>31000</v>
      </c>
      <c r="H35" s="36" t="n">
        <f aca="false">VLOOKUP(H$4,Inputs!$A$41:$D$47,4,0)</f>
        <v>33000</v>
      </c>
      <c r="I35" s="36" t="n">
        <f aca="false">VLOOKUP(I$4,Inputs!$A$41:$D$47,4,0)</f>
        <v>37500</v>
      </c>
    </row>
    <row r="36" customFormat="false" ht="15" hidden="false" customHeight="false" outlineLevel="0" collapsed="false">
      <c r="A36" s="40" t="s">
        <v>241</v>
      </c>
      <c r="C36" s="38" t="str">
        <f aca="false">IF(ISNUMBER(C35),C35+Inputs!$C$50/C17+C20,"NQ")</f>
        <v>NQ</v>
      </c>
      <c r="D36" s="38" t="str">
        <f aca="false">IF(ISNUMBER(D35),D35+Inputs!$C$50/D17+D20,"NQ")</f>
        <v>NQ</v>
      </c>
      <c r="E36" s="38" t="n">
        <f aca="false">IF(ISNUMBER(E35),E35+Inputs!$C$50/E17+E20,"NQ")</f>
        <v>18881.25</v>
      </c>
      <c r="F36" s="38" t="n">
        <f aca="false">IF(ISNUMBER(F35),F35+Inputs!$C$50/F17+F20,"NQ")</f>
        <v>17881.25</v>
      </c>
      <c r="G36" s="38" t="n">
        <f aca="false">IF(ISNUMBER(G35),G35+Inputs!$C$50/G17+G20,"NQ")</f>
        <v>33131.25</v>
      </c>
      <c r="H36" s="38" t="n">
        <f aca="false">IF(ISNUMBER(H35),H35+Inputs!$C$50/H17+H20,"NQ")</f>
        <v>35131.25</v>
      </c>
      <c r="I36" s="38" t="n">
        <f aca="false">IF(ISNUMBER(I35),I35+Inputs!$C$50/I17+I20,"NQ")</f>
        <v>39631.25</v>
      </c>
    </row>
    <row r="37" customFormat="false" ht="15" hidden="false" customHeight="false" outlineLevel="0" collapsed="false">
      <c r="A37" s="20" t="s">
        <v>242</v>
      </c>
      <c r="C37" s="44" t="str">
        <f aca="false">IF(ISNUMBER(C35),ROUNDUP(C17*(C12+C13)/Inputs!$C$24,0),"NQ")</f>
        <v>NQ</v>
      </c>
      <c r="D37" s="44" t="str">
        <f aca="false">IF(ISNUMBER(D35),ROUNDUP(D17*(D12+D13)/Inputs!$C$24,0),"NQ")</f>
        <v>NQ</v>
      </c>
      <c r="E37" s="44" t="n">
        <f aca="false">IF(ISNUMBER(E35),ROUNDUP(E17*(E12+E13)/Inputs!$C$24,0),"NQ")</f>
        <v>2</v>
      </c>
      <c r="F37" s="44" t="n">
        <f aca="false">IF(ISNUMBER(F35),ROUNDUP(F17*(F12+F13)/Inputs!$C$24,0),"NQ")</f>
        <v>2</v>
      </c>
      <c r="G37" s="44" t="n">
        <f aca="false">IF(ISNUMBER(G35),ROUNDUP(G17*(G12+G13)/Inputs!$C$24,0),"NQ")</f>
        <v>3</v>
      </c>
      <c r="H37" s="44" t="n">
        <f aca="false">IF(ISNUMBER(H35),ROUNDUP(H17*(H12+H13)/Inputs!$C$24,0),"NQ")</f>
        <v>3</v>
      </c>
      <c r="I37" s="44" t="n">
        <f aca="false">IF(ISNUMBER(I35),ROUNDUP(I17*(I12+I13)/Inputs!$C$24,0),"NQ")</f>
        <v>4</v>
      </c>
    </row>
    <row r="38" customFormat="false" ht="15" hidden="false" customHeight="false" outlineLevel="0" collapsed="false">
      <c r="A38" s="20" t="s">
        <v>243</v>
      </c>
      <c r="C38" s="36" t="str">
        <f aca="false">IF(ISNUMBER(C35),C36+C37*Inputs!$C$26/C17,"NQ")</f>
        <v>NQ</v>
      </c>
      <c r="D38" s="36" t="str">
        <f aca="false">IF(ISNUMBER(D35),D36+D37*Inputs!$C$26/D17,"NQ")</f>
        <v>NQ</v>
      </c>
      <c r="E38" s="36" t="n">
        <f aca="false">IF(ISNUMBER(E35),E36+E37*Inputs!$C$26/E17,"NQ")</f>
        <v>18881.25</v>
      </c>
      <c r="F38" s="36" t="n">
        <f aca="false">IF(ISNUMBER(F35),F36+F37*Inputs!$C$26/F17,"NQ")</f>
        <v>17881.25</v>
      </c>
      <c r="G38" s="36" t="n">
        <f aca="false">IF(ISNUMBER(G35),G36+G37*Inputs!$C$26/G17,"NQ")</f>
        <v>33131.25</v>
      </c>
      <c r="H38" s="36" t="n">
        <f aca="false">IF(ISNUMBER(H35),H36+H37*Inputs!$C$26/H17,"NQ")</f>
        <v>35131.25</v>
      </c>
      <c r="I38" s="36" t="n">
        <f aca="false">IF(ISNUMBER(I35),I36+I37*Inputs!$C$26/I17,"NQ")</f>
        <v>39631.25</v>
      </c>
    </row>
    <row r="39" customFormat="false" ht="15" hidden="false" customHeight="false" outlineLevel="0" collapsed="false">
      <c r="A39" s="4" t="s">
        <v>250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false" outlineLevel="0" collapsed="false">
      <c r="A40" s="20" t="s">
        <v>251</v>
      </c>
      <c r="C40" s="36" t="n">
        <f aca="false">MIN(C24,C28,C33,C38)</f>
        <v>13913.0345804661</v>
      </c>
      <c r="D40" s="36" t="n">
        <f aca="false">MIN(D24,D28,D33,D38)</f>
        <v>15578.8033272599</v>
      </c>
      <c r="E40" s="36" t="n">
        <f aca="false">MIN(E24,E28,E33,E38)</f>
        <v>14710.4506366525</v>
      </c>
      <c r="F40" s="36" t="n">
        <f aca="false">MIN(F24,F28,F33,F38)</f>
        <v>13474.1077626816</v>
      </c>
      <c r="G40" s="36" t="n">
        <f aca="false">MIN(G24,G28,G33,G38)</f>
        <v>25836.7820467867</v>
      </c>
      <c r="H40" s="36" t="n">
        <f aca="false">MIN(H24,H28,H33,H38)</f>
        <v>28687.5629508122</v>
      </c>
      <c r="I40" s="36" t="n">
        <f aca="false">MIN(I24,I28,I33,I38)</f>
        <v>32336.1683613701</v>
      </c>
      <c r="K40" s="3" t="s">
        <v>252</v>
      </c>
    </row>
    <row r="41" customFormat="false" ht="15" hidden="false" customHeight="false" outlineLevel="0" collapsed="false">
      <c r="A41" s="40" t="s">
        <v>253</v>
      </c>
      <c r="C41" s="40" t="str">
        <f aca="false">IF(C40=C24,"In-house",IF(C40=C33,"Buy skids (PK-B)",IF(C40=C38,"Turnkey (PK-C)","Contractor (PK-A)")))</f>
        <v>In-house</v>
      </c>
      <c r="D41" s="40" t="str">
        <f aca="false">IF(D40=D24,"In-house",IF(D40=D33,"Buy skids (PK-B)",IF(D40=D38,"Turnkey (PK-C)","Contractor (PK-A)")))</f>
        <v>In-house</v>
      </c>
      <c r="E41" s="40" t="str">
        <f aca="false">IF(E40=E24,"In-house",IF(E40=E33,"Buy skids (PK-B)",IF(E40=E38,"Turnkey (PK-C)","Contractor (PK-A)")))</f>
        <v>In-house</v>
      </c>
      <c r="F41" s="40" t="str">
        <f aca="false">IF(F40=F24,"In-house",IF(F40=F33,"Buy skids (PK-B)",IF(F40=F38,"Turnkey (PK-C)","Contractor (PK-A)")))</f>
        <v>In-house</v>
      </c>
      <c r="G41" s="40" t="str">
        <f aca="false">IF(G40=G24,"In-house",IF(G40=G33,"Buy skids (PK-B)",IF(G40=G38,"Turnkey (PK-C)","Contractor (PK-A)")))</f>
        <v>In-house</v>
      </c>
      <c r="H41" s="40" t="str">
        <f aca="false">IF(H40=H24,"In-house",IF(H40=H33,"Buy skids (PK-B)",IF(H40=H38,"Turnkey (PK-C)","Contractor (PK-A)")))</f>
        <v>In-house</v>
      </c>
      <c r="I41" s="40" t="str">
        <f aca="false">IF(I40=I24,"In-house",IF(I40=I33,"Buy skids (PK-B)",IF(I40=I38,"Turnkey (PK-C)","Contractor (PK-A)")))</f>
        <v>In-house</v>
      </c>
    </row>
    <row r="42" customFormat="false" ht="15" hidden="false" customHeight="false" outlineLevel="0" collapsed="false">
      <c r="A42" s="20" t="s">
        <v>254</v>
      </c>
      <c r="C42" s="36" t="n">
        <f aca="false">IF(C23&gt;C32,(C31-C22)*C17/(C23-C32),"never")</f>
        <v>5111.42439</v>
      </c>
      <c r="D42" s="36" t="n">
        <f aca="false">IF(D23&gt;D32,(D31-D22)*D17/(D23-D32),"never")</f>
        <v>2842.6059</v>
      </c>
      <c r="E42" s="36" t="n">
        <f aca="false">IF(E23&gt;E32,(E31-E22)*E17/(E23-E32),"never")</f>
        <v>6516.26525</v>
      </c>
      <c r="F42" s="36" t="n">
        <f aca="false">IF(F23&gt;F32,(F31-F22)*F17/(F23-F32),"never")</f>
        <v>7693.24013571428</v>
      </c>
      <c r="G42" s="36" t="n">
        <f aca="false">IF(G23&gt;G32,(G31-G22)*G17/(G23-G32),"never")</f>
        <v>9860.9526845238</v>
      </c>
      <c r="H42" s="36" t="n">
        <f aca="false">IF(H23&gt;H32,(H31-H22)*H17/(H23-H32),"never")</f>
        <v>10205.683225</v>
      </c>
      <c r="I42" s="36" t="n">
        <f aca="false">IF(I23&gt;I32,(I31-I22)*I17/(I23-I32),"never")</f>
        <v>7409.54180833333</v>
      </c>
      <c r="K42" s="3" t="s">
        <v>255</v>
      </c>
    </row>
    <row r="43" customFormat="false" ht="15" hidden="false" customHeight="false" outlineLevel="0" collapsed="false">
      <c r="A43" s="20" t="s">
        <v>256</v>
      </c>
      <c r="C43" s="45" t="str">
        <f aca="false">IF(ISNUMBER(C35),C35/(C11+C14),"NQ")</f>
        <v>NQ</v>
      </c>
      <c r="D43" s="45" t="str">
        <f aca="false">IF(ISNUMBER(D35),D35/(D11+D14),"NQ")</f>
        <v>NQ</v>
      </c>
      <c r="E43" s="45" t="n">
        <f aca="false">IF(ISNUMBER(E35),E35/(E11+E14),"NQ")</f>
        <v>1.18071183138622</v>
      </c>
      <c r="F43" s="45" t="n">
        <f aca="false">IF(ISNUMBER(F35),F35/(F11+F14),"NQ")</f>
        <v>1.22080342202695</v>
      </c>
      <c r="G43" s="45" t="n">
        <f aca="false">IF(ISNUMBER(G35),G35/(G11+G14),"NQ")</f>
        <v>1.21185907874399</v>
      </c>
      <c r="H43" s="45" t="n">
        <f aca="false">IF(ISNUMBER(H35),H35/(H11+H14),"NQ")</f>
        <v>1.16069208823004</v>
      </c>
      <c r="I43" s="45" t="n">
        <f aca="false">IF(ISNUMBER(I35),I35/(I11+I14),"NQ")</f>
        <v>1.16895559326475</v>
      </c>
    </row>
    <row r="44" customFormat="false" ht="15" hidden="false" customHeight="false" outlineLevel="0" collapsed="false">
      <c r="A44" s="4" t="s">
        <v>257</v>
      </c>
      <c r="B44" s="5"/>
      <c r="C44" s="5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20" t="s">
        <v>258</v>
      </c>
      <c r="B45" s="33" t="s">
        <v>259</v>
      </c>
      <c r="C45" s="36" t="n">
        <f aca="false">SUMIFS('Job Costing'!$X$5:$X$23,'Job Costing'!$B$5:$B$23,C$4)/SUMIFS('Job Costing'!$C$5:$C$23,'Job Costing'!$B$5:$B$23,C$4)</f>
        <v>12744.7813333333</v>
      </c>
      <c r="D45" s="36" t="n">
        <f aca="false">SUMIFS('Job Costing'!$X$5:$X$23,'Job Costing'!$B$5:$B$23,D$4)/SUMIFS('Job Costing'!$C$5:$C$23,'Job Costing'!$B$5:$B$23,D$4)</f>
        <v>15620.5333333333</v>
      </c>
      <c r="E45" s="36" t="n">
        <f aca="false">SUMIFS('Job Costing'!$X$5:$X$23,'Job Costing'!$B$5:$B$23,E$4)/SUMIFS('Job Costing'!$C$5:$C$23,'Job Costing'!$B$5:$B$23,E$4)</f>
        <v>13641.5522222222</v>
      </c>
      <c r="F45" s="36" t="n">
        <f aca="false">SUMIFS('Job Costing'!$X$5:$X$23,'Job Costing'!$B$5:$B$23,F$4)/SUMIFS('Job Costing'!$C$5:$C$23,'Job Costing'!$B$5:$B$23,F$4)</f>
        <v>12395.6758928571</v>
      </c>
      <c r="G45" s="36" t="n">
        <f aca="false">SUMIFS('Job Costing'!$X$5:$X$23,'Job Costing'!$B$5:$B$23,G$4)/SUMIFS('Job Costing'!$C$5:$C$23,'Job Costing'!$B$5:$B$23,G$4)</f>
        <v>24341.99875</v>
      </c>
      <c r="H45" s="36" t="n">
        <f aca="false">SUMIFS('Job Costing'!$X$5:$X$23,'Job Costing'!$B$5:$B$23,H$4)/SUMIFS('Job Costing'!$C$5:$C$23,'Job Costing'!$B$5:$B$23,H$4)</f>
        <v>27468.2005034722</v>
      </c>
      <c r="I45" s="36" t="n">
        <f aca="false">SUMIFS('Job Costing'!$X$5:$X$23,'Job Costing'!$B$5:$B$23,I$4)/SUMIFS('Job Costing'!$C$5:$C$23,'Job Costing'!$B$5:$B$23,I$4)</f>
        <v>31278.6825</v>
      </c>
    </row>
    <row r="46" customFormat="false" ht="15" hidden="false" customHeight="false" outlineLevel="0" collapsed="false">
      <c r="A46" s="20" t="s">
        <v>260</v>
      </c>
      <c r="C46" s="39" t="str">
        <f aca="false">IFERROR(VLOOKUP(C$4,Inputs!$A$91:$B$92,2,0)*Inputs!$C$93/100,"")</f>
        <v/>
      </c>
      <c r="D46" s="39" t="str">
        <f aca="false">IFERROR(VLOOKUP(D$4,Inputs!$A$91:$B$92,2,0)*Inputs!$C$93/100,"")</f>
        <v/>
      </c>
      <c r="E46" s="39" t="str">
        <f aca="false">IFERROR(VLOOKUP(E$4,Inputs!$A$91:$B$92,2,0)*Inputs!$C$93/100,"")</f>
        <v/>
      </c>
      <c r="F46" s="39" t="str">
        <f aca="false">IFERROR(VLOOKUP(F$4,Inputs!$A$91:$B$92,2,0)*Inputs!$C$93/100,"")</f>
        <v/>
      </c>
      <c r="G46" s="39" t="n">
        <f aca="false">IFERROR(VLOOKUP(G$4,Inputs!$A$91:$B$92,2,0)*Inputs!$C$93/100,"")</f>
        <v>600</v>
      </c>
      <c r="H46" s="39" t="n">
        <f aca="false">IFERROR(VLOOKUP(H$4,Inputs!$A$91:$B$92,2,0)*Inputs!$C$93/100,"")</f>
        <v>636</v>
      </c>
      <c r="I46" s="39" t="str">
        <f aca="false">IFERROR(VLOOKUP(I$4,Inputs!$A$91:$B$92,2,0)*Inputs!$C$93/100,"")</f>
        <v/>
      </c>
    </row>
    <row r="47" customFormat="false" ht="15" hidden="false" customHeight="false" outlineLevel="0" collapsed="false">
      <c r="A47" s="20" t="s">
        <v>261</v>
      </c>
      <c r="C47" s="36" t="str">
        <f aca="false">IF(C46="","",C46*Inputs!$C$88)</f>
        <v/>
      </c>
      <c r="D47" s="36" t="str">
        <f aca="false">IF(D46="","",D46*Inputs!$C$88)</f>
        <v/>
      </c>
      <c r="E47" s="36" t="str">
        <f aca="false">IF(E46="","",E46*Inputs!$C$88)</f>
        <v/>
      </c>
      <c r="F47" s="36" t="str">
        <f aca="false">IF(F46="","",F46*Inputs!$C$88)</f>
        <v/>
      </c>
      <c r="G47" s="36" t="n">
        <f aca="false">IF(G46="","",G46*Inputs!$C$88)</f>
        <v>57534</v>
      </c>
      <c r="H47" s="36" t="n">
        <f aca="false">IF(H46="","",H46*Inputs!$C$88)</f>
        <v>60986.04</v>
      </c>
      <c r="I47" s="36" t="str">
        <f aca="false">IF(I46="","",I46*Inputs!$C$88)</f>
        <v/>
      </c>
    </row>
    <row r="48" customFormat="false" ht="15" hidden="false" customHeight="false" outlineLevel="0" collapsed="false">
      <c r="A48" s="20" t="s">
        <v>262</v>
      </c>
      <c r="C48" s="36" t="str">
        <f aca="false">IF(C46="","",C47-C22)</f>
        <v/>
      </c>
      <c r="D48" s="36" t="str">
        <f aca="false">IF(D46="","",D47-D22)</f>
        <v/>
      </c>
      <c r="E48" s="36" t="str">
        <f aca="false">IF(E46="","",E47-E22)</f>
        <v/>
      </c>
      <c r="F48" s="36" t="str">
        <f aca="false">IF(F46="","",F47-F22)</f>
        <v/>
      </c>
      <c r="G48" s="36" t="n">
        <f aca="false">IF(G46="","",G47-G22)</f>
        <v>31697.2179532133</v>
      </c>
      <c r="H48" s="36" t="n">
        <f aca="false">IF(H46="","",H47-H22)</f>
        <v>32298.4770491879</v>
      </c>
      <c r="I48" s="36" t="str">
        <f aca="false">IF(I46="","",I47-I22)</f>
        <v/>
      </c>
    </row>
    <row r="50" customFormat="false" ht="15" hidden="false" customHeight="false" outlineLevel="0" collapsed="false">
      <c r="A50" s="4" t="s">
        <v>263</v>
      </c>
      <c r="B50" s="5"/>
      <c r="C50" s="5"/>
      <c r="D50" s="5"/>
      <c r="E50" s="5"/>
      <c r="F50" s="5"/>
      <c r="G50" s="5"/>
      <c r="H50" s="5"/>
      <c r="I50" s="5"/>
    </row>
    <row r="51" customFormat="false" ht="15" hidden="false" customHeight="false" outlineLevel="0" collapsed="false">
      <c r="A51" s="20"/>
      <c r="B51" s="33" t="s">
        <v>42</v>
      </c>
      <c r="C51" s="36" t="n">
        <f aca="false">C8</f>
        <v>5518.3439025</v>
      </c>
      <c r="D51" s="36" t="n">
        <f aca="false">D8</f>
        <v>6365.598525</v>
      </c>
      <c r="E51" s="36" t="n">
        <f aca="false">E8</f>
        <v>5966.4336875</v>
      </c>
      <c r="F51" s="36" t="n">
        <f aca="false">F8</f>
        <v>5658.1185375</v>
      </c>
      <c r="G51" s="36" t="n">
        <f aca="false">G8</f>
        <v>12164.4999241071</v>
      </c>
      <c r="H51" s="36" t="n">
        <f aca="false">H8</f>
        <v>13041.32919375</v>
      </c>
      <c r="I51" s="36" t="n">
        <f aca="false">I8</f>
        <v>13074.8957625</v>
      </c>
    </row>
    <row r="52" customFormat="false" ht="15" hidden="false" customHeight="false" outlineLevel="0" collapsed="false">
      <c r="A52" s="20"/>
      <c r="B52" s="33" t="s">
        <v>264</v>
      </c>
      <c r="C52" s="36" t="n">
        <f aca="false">C9</f>
        <v>5420.4406779661</v>
      </c>
      <c r="D52" s="36" t="n">
        <f aca="false">D9</f>
        <v>6062.95480225989</v>
      </c>
      <c r="E52" s="36" t="n">
        <f aca="false">E9</f>
        <v>5547.01694915254</v>
      </c>
      <c r="F52" s="36" t="n">
        <f aca="false">F9</f>
        <v>4769.1392251816</v>
      </c>
      <c r="G52" s="36" t="n">
        <f aca="false">G9</f>
        <v>11085.4987893462</v>
      </c>
      <c r="H52" s="36" t="n">
        <f aca="false">H9</f>
        <v>13059.3587570621</v>
      </c>
      <c r="I52" s="36" t="n">
        <f aca="false">I9</f>
        <v>16247.6892655367</v>
      </c>
    </row>
    <row r="53" customFormat="false" ht="15" hidden="false" customHeight="false" outlineLevel="0" collapsed="false">
      <c r="A53" s="20"/>
      <c r="B53" s="33" t="s">
        <v>265</v>
      </c>
      <c r="C53" s="36" t="n">
        <f aca="false">C14</f>
        <v>968</v>
      </c>
      <c r="D53" s="36" t="n">
        <f aca="false">D14</f>
        <v>1144</v>
      </c>
      <c r="E53" s="36" t="n">
        <f aca="false">E14</f>
        <v>1190.75</v>
      </c>
      <c r="F53" s="36" t="n">
        <f aca="false">F14</f>
        <v>1040.6</v>
      </c>
      <c r="G53" s="36" t="n">
        <f aca="false">G14</f>
        <v>2330.53333333333</v>
      </c>
      <c r="H53" s="36" t="n">
        <f aca="false">H14</f>
        <v>2330.625</v>
      </c>
      <c r="I53" s="36" t="n">
        <f aca="false">I14</f>
        <v>2757.33333333333</v>
      </c>
    </row>
    <row r="54" customFormat="false" ht="15" hidden="false" customHeight="false" outlineLevel="0" collapsed="false">
      <c r="A54" s="20"/>
      <c r="B54" s="33" t="s">
        <v>266</v>
      </c>
      <c r="C54" s="36" t="n">
        <f aca="false">C20</f>
        <v>2006.25</v>
      </c>
      <c r="D54" s="36" t="n">
        <f aca="false">D20</f>
        <v>2006.25</v>
      </c>
      <c r="E54" s="36" t="n">
        <f aca="false">E20</f>
        <v>2006.25</v>
      </c>
      <c r="F54" s="36" t="n">
        <f aca="false">F20</f>
        <v>2006.25</v>
      </c>
      <c r="G54" s="36" t="n">
        <f aca="false">G20</f>
        <v>256.25</v>
      </c>
      <c r="H54" s="36" t="n">
        <f aca="false">H20</f>
        <v>256.25</v>
      </c>
      <c r="I54" s="36" t="n">
        <f aca="false">I20</f>
        <v>256.25</v>
      </c>
    </row>
    <row r="56" customFormat="false" ht="15" hidden="false" customHeight="false" outlineLevel="0" collapsed="false">
      <c r="A56" s="20"/>
      <c r="B56" s="33" t="s">
        <v>240</v>
      </c>
      <c r="C56" s="36" t="n">
        <f aca="false">C24</f>
        <v>13913.0345804661</v>
      </c>
      <c r="D56" s="36" t="n">
        <f aca="false">D24</f>
        <v>15578.8033272599</v>
      </c>
      <c r="E56" s="36" t="n">
        <f aca="false">E24</f>
        <v>14710.4506366525</v>
      </c>
      <c r="F56" s="36" t="n">
        <f aca="false">F24</f>
        <v>13474.1077626816</v>
      </c>
      <c r="G56" s="36" t="n">
        <f aca="false">G24</f>
        <v>25836.7820467867</v>
      </c>
      <c r="H56" s="36" t="n">
        <f aca="false">H24</f>
        <v>28687.5629508122</v>
      </c>
      <c r="I56" s="36" t="n">
        <f aca="false">I24</f>
        <v>32336.1683613701</v>
      </c>
    </row>
    <row r="57" customFormat="false" ht="15" hidden="false" customHeight="false" outlineLevel="0" collapsed="false">
      <c r="A57" s="20"/>
      <c r="B57" s="33" t="s">
        <v>267</v>
      </c>
      <c r="C57" s="36" t="n">
        <f aca="false">C28</f>
        <v>14370.0345804661</v>
      </c>
      <c r="D57" s="36" t="n">
        <f aca="false">D28</f>
        <v>15959.8033272599</v>
      </c>
      <c r="E57" s="36" t="n">
        <f aca="false">E28</f>
        <v>15244.7006366525</v>
      </c>
      <c r="F57" s="36" t="n">
        <f aca="false">F28</f>
        <v>14058.5077626816</v>
      </c>
      <c r="G57" s="36" t="n">
        <f aca="false">G28</f>
        <v>26331.2487134534</v>
      </c>
      <c r="H57" s="36" t="n">
        <f aca="false">H28</f>
        <v>29281.9379508122</v>
      </c>
      <c r="I57" s="36" t="n">
        <f aca="false">I28</f>
        <v>32903.8350280367</v>
      </c>
    </row>
    <row r="58" customFormat="false" ht="15" hidden="false" customHeight="false" outlineLevel="0" collapsed="false">
      <c r="A58" s="20"/>
      <c r="B58" s="33" t="s">
        <v>268</v>
      </c>
      <c r="C58" s="36" t="n">
        <f aca="false">C33</f>
        <v>15190.8906779661</v>
      </c>
      <c r="D58" s="36" t="n">
        <f aca="false">D33</f>
        <v>16289.4548022599</v>
      </c>
      <c r="E58" s="36" t="n">
        <f aca="false">E33</f>
        <v>16339.5169491525</v>
      </c>
      <c r="F58" s="36" t="n">
        <f aca="false">F33</f>
        <v>15397.4177966102</v>
      </c>
      <c r="G58" s="36" t="n">
        <f aca="false">G33</f>
        <v>28302.0202179177</v>
      </c>
      <c r="H58" s="36" t="n">
        <f aca="false">H33</f>
        <v>31238.9837570621</v>
      </c>
      <c r="I58" s="36" t="n">
        <f aca="false">I33</f>
        <v>36040.9392655367</v>
      </c>
    </row>
    <row r="59" customFormat="false" ht="15" hidden="false" customHeight="false" outlineLevel="0" collapsed="false">
      <c r="A59" s="20"/>
      <c r="B59" s="33" t="s">
        <v>269</v>
      </c>
      <c r="C59" s="36" t="str">
        <f aca="false">IF(ISNUMBER(C38),C38,"")</f>
        <v/>
      </c>
      <c r="D59" s="36" t="str">
        <f aca="false">IF(ISNUMBER(D38),D38,"")</f>
        <v/>
      </c>
      <c r="E59" s="36" t="n">
        <f aca="false">IF(ISNUMBER(E38),E38,"")</f>
        <v>18881.25</v>
      </c>
      <c r="F59" s="36" t="n">
        <f aca="false">IF(ISNUMBER(F38),F38,"")</f>
        <v>17881.25</v>
      </c>
      <c r="G59" s="36" t="n">
        <f aca="false">IF(ISNUMBER(G38),G38,"")</f>
        <v>33131.25</v>
      </c>
      <c r="H59" s="36" t="n">
        <f aca="false">IF(ISNUMBER(H38),H38,"")</f>
        <v>35131.25</v>
      </c>
      <c r="I59" s="36" t="n">
        <f aca="false">IF(ISNUMBER(I38),I38,"")</f>
        <v>39631.25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9" min="7" style="0" width="13"/>
  </cols>
  <sheetData>
    <row r="1" customFormat="false" ht="17.35" hidden="false" customHeight="false" outlineLevel="0" collapsed="false">
      <c r="A1" s="16" t="s">
        <v>270</v>
      </c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40" t="s">
        <v>272</v>
      </c>
      <c r="B4" s="41" t="n">
        <f aca="false">Dashboard!$D$6</f>
        <v>2400</v>
      </c>
    </row>
    <row r="5" customFormat="false" ht="15" hidden="false" customHeight="false" outlineLevel="0" collapsed="false">
      <c r="A5" s="20" t="s">
        <v>103</v>
      </c>
      <c r="B5" s="21" t="str">
        <f aca="false">HLOOKUP($B$4,'Size Model'!$C$4:$I$60,2,0)</f>
        <v>Flat rack</v>
      </c>
    </row>
    <row r="6" customFormat="false" ht="15" hidden="false" customHeight="false" outlineLevel="0" collapsed="false">
      <c r="A6" s="20" t="s">
        <v>273</v>
      </c>
      <c r="B6" s="21" t="str">
        <f aca="false">HLOOKUP($B$4,'Size Model'!$C$4:$I$60,3,0)</f>
        <v>-</v>
      </c>
    </row>
    <row r="7" customFormat="false" ht="15" hidden="false" customHeight="false" outlineLevel="0" collapsed="false">
      <c r="A7" s="20" t="s">
        <v>141</v>
      </c>
      <c r="B7" s="21" t="n">
        <f aca="false">HLOOKUP($B$4,'Size Model'!$C$4:$I$60,6,0)</f>
        <v>11085.4987893462</v>
      </c>
    </row>
    <row r="8" customFormat="false" ht="15" hidden="false" customHeight="false" outlineLevel="0" collapsed="false">
      <c r="A8" s="20" t="s">
        <v>274</v>
      </c>
      <c r="B8" s="21" t="n">
        <f aca="false">HLOOKUP($B$4,'Size Model'!$C$4:$I$60,7,0)</f>
        <v>240.428571428571</v>
      </c>
    </row>
    <row r="9" customFormat="false" ht="15" hidden="false" customHeight="false" outlineLevel="0" collapsed="false">
      <c r="A9" s="20" t="s">
        <v>143</v>
      </c>
      <c r="B9" s="21" t="n">
        <f aca="false">HLOOKUP($B$4,'Size Model'!$C$4:$I$60,8,0)</f>
        <v>23249.9987134534</v>
      </c>
    </row>
    <row r="10" customFormat="false" ht="15" hidden="false" customHeight="false" outlineLevel="0" collapsed="false">
      <c r="A10" s="20" t="s">
        <v>147</v>
      </c>
      <c r="B10" s="21" t="n">
        <f aca="false">HLOOKUP($B$4,'Size Model'!$C$4:$I$60,9,0)</f>
        <v>9.81666666666667</v>
      </c>
    </row>
    <row r="11" customFormat="false" ht="15" hidden="false" customHeight="false" outlineLevel="0" collapsed="false">
      <c r="A11" s="20" t="s">
        <v>148</v>
      </c>
      <c r="B11" s="21" t="n">
        <f aca="false">HLOOKUP($B$4,'Size Model'!$C$4:$I$60,10,0)</f>
        <v>18.95</v>
      </c>
    </row>
    <row r="12" customFormat="false" ht="15" hidden="false" customHeight="false" outlineLevel="0" collapsed="false">
      <c r="A12" s="20" t="s">
        <v>151</v>
      </c>
      <c r="B12" s="21" t="n">
        <f aca="false">HLOOKUP($B$4,'Size Model'!$C$4:$I$60,11,0)</f>
        <v>2330.53333333333</v>
      </c>
    </row>
    <row r="13" customFormat="false" ht="15" hidden="false" customHeight="false" outlineLevel="0" collapsed="false">
      <c r="A13" s="20" t="s">
        <v>275</v>
      </c>
      <c r="B13" s="21" t="n">
        <f aca="false">HLOOKUP($B$4,'Size Model'!$C$4:$I$60,12,0)</f>
        <v>1250.7</v>
      </c>
    </row>
    <row r="14" customFormat="false" ht="15" hidden="false" customHeight="false" outlineLevel="0" collapsed="false">
      <c r="A14" s="20" t="s">
        <v>276</v>
      </c>
      <c r="B14" s="21" t="n">
        <f aca="false">HLOOKUP($B$4,'Size Model'!$C$4:$I$60,23,0)</f>
        <v>2200</v>
      </c>
    </row>
    <row r="15" customFormat="false" ht="15" hidden="false" customHeight="false" outlineLevel="0" collapsed="false">
      <c r="A15" s="20" t="s">
        <v>277</v>
      </c>
      <c r="B15" s="21" t="n">
        <f aca="false">HLOOKUP($B$4,'Size Model'!$C$4:$I$60,27,0)</f>
        <v>15050</v>
      </c>
    </row>
    <row r="16" customFormat="false" ht="15" hidden="false" customHeight="false" outlineLevel="0" collapsed="false">
      <c r="A16" s="20" t="s">
        <v>278</v>
      </c>
      <c r="B16" s="21" t="n">
        <f aca="false">HLOOKUP($B$4,'Size Model'!$C$4:$I$60,32,0)</f>
        <v>31000</v>
      </c>
    </row>
    <row r="17" customFormat="false" ht="15" hidden="false" customHeight="false" outlineLevel="0" collapsed="false">
      <c r="G17" s="3" t="s">
        <v>279</v>
      </c>
    </row>
    <row r="18" customFormat="false" ht="30" hidden="false" customHeight="true" outlineLevel="0" collapsed="false">
      <c r="A18" s="19" t="s">
        <v>6</v>
      </c>
      <c r="B18" s="19" t="s">
        <v>154</v>
      </c>
      <c r="C18" s="19" t="s">
        <v>240</v>
      </c>
      <c r="D18" s="19" t="s">
        <v>280</v>
      </c>
      <c r="E18" s="19" t="s">
        <v>281</v>
      </c>
      <c r="F18" s="19" t="s">
        <v>282</v>
      </c>
      <c r="G18" s="19" t="s">
        <v>267</v>
      </c>
      <c r="H18" s="19" t="s">
        <v>268</v>
      </c>
      <c r="I18" s="19" t="s">
        <v>269</v>
      </c>
    </row>
    <row r="19" customFormat="false" ht="15" hidden="false" customHeight="false" outlineLevel="0" collapsed="false">
      <c r="A19" s="40" t="n">
        <v>1</v>
      </c>
      <c r="B19" s="36" t="n">
        <f aca="false">IF($B$5="40HC",ROUNDUP(A19/$B$6,0)*Inputs!$C$15,0)</f>
        <v>0</v>
      </c>
      <c r="C19" s="36" t="n">
        <f aca="false">$B$9+$B$12+(B19+Inputs!$C$22)/A19+ROUNDUP(A19*($B$10+$B$11)/Inputs!$C$23,0)*Inputs!$C$26/A19</f>
        <v>26605.5320467867</v>
      </c>
      <c r="D19" s="36" t="n">
        <f aca="false">$B$9+$B$14+(Inputs!$C$48+B19+Inputs!$C$22)/A19+ROUNDUP(A19*($B$10+$B$11)/Inputs!$C$23,0)*Inputs!$C$26/A19</f>
        <v>28974.9987134534</v>
      </c>
      <c r="E19" s="36" t="n">
        <f aca="false">$B$15+$B$7-$B$8+$B$13+(ROUNDUP(A19/Inputs!$C$25,0)*Inputs!$C$49+B19+Inputs!$C$22)/A19+ROUNDUP(A19*$B$11/Inputs!$C$23,0)*Inputs!$C$26/A19</f>
        <v>29970.7702179177</v>
      </c>
      <c r="F19" s="36" t="n">
        <f aca="false">IF(ISNUMBER($B$16),$B$16+(Inputs!$C$50+B19+Inputs!$C$22)/A19+ROUNDUP(A19*($B$10+$B$11)/Inputs!$C$24,0)*Inputs!$C$26/A19,"not quoted")</f>
        <v>39525</v>
      </c>
      <c r="G19" s="36" t="n">
        <f aca="false">D19-C19</f>
        <v>2369.46666666667</v>
      </c>
      <c r="H19" s="36" t="n">
        <f aca="false">E19-C19</f>
        <v>3365.23817113095</v>
      </c>
      <c r="I19" s="36" t="n">
        <f aca="false">IF(ISNUMBER(F19),F19-C19,NA())</f>
        <v>12919.4679532133</v>
      </c>
    </row>
    <row r="20" customFormat="false" ht="15" hidden="false" customHeight="false" outlineLevel="0" collapsed="false">
      <c r="A20" s="40" t="n">
        <v>2</v>
      </c>
      <c r="B20" s="36" t="n">
        <f aca="false">IF($B$5="40HC",ROUNDUP(A20/$B$6,0)*Inputs!$C$15,0)</f>
        <v>0</v>
      </c>
      <c r="C20" s="36" t="n">
        <f aca="false">$B$9+$B$12+(B20+Inputs!$C$22)/A20+ROUNDUP(A20*($B$10+$B$11)/Inputs!$C$23,0)*Inputs!$C$26/A20</f>
        <v>26093.0320467867</v>
      </c>
      <c r="D20" s="36" t="n">
        <f aca="false">$B$9+$B$14+(Inputs!$C$48+B20+Inputs!$C$22)/A20+ROUNDUP(A20*($B$10+$B$11)/Inputs!$C$23,0)*Inputs!$C$26/A20</f>
        <v>27212.4987134534</v>
      </c>
      <c r="E20" s="36" t="n">
        <f aca="false">$B$15+$B$7-$B$8+$B$13+(ROUNDUP(A20/Inputs!$C$25,0)*Inputs!$C$49+B20+Inputs!$C$22)/A20+ROUNDUP(A20*$B$11/Inputs!$C$23,0)*Inputs!$C$26/A20</f>
        <v>28558.2702179177</v>
      </c>
      <c r="F20" s="36" t="n">
        <f aca="false">IF(ISNUMBER($B$16),$B$16+(Inputs!$C$50+B20+Inputs!$C$22)/A20+ROUNDUP(A20*($B$10+$B$11)/Inputs!$C$24,0)*Inputs!$C$26/A20,"not quoted")</f>
        <v>35262.5</v>
      </c>
      <c r="G20" s="36" t="n">
        <f aca="false">D20-C20</f>
        <v>1119.46666666667</v>
      </c>
      <c r="H20" s="36" t="n">
        <f aca="false">E20-C20</f>
        <v>2465.23817113095</v>
      </c>
      <c r="I20" s="36" t="n">
        <f aca="false">IF(ISNUMBER(F20),F20-C20,NA())</f>
        <v>9169.46795321328</v>
      </c>
    </row>
    <row r="21" customFormat="false" ht="15" hidden="false" customHeight="false" outlineLevel="0" collapsed="false">
      <c r="A21" s="40" t="n">
        <v>3</v>
      </c>
      <c r="B21" s="36" t="n">
        <f aca="false">IF($B$5="40HC",ROUNDUP(A21/$B$6,0)*Inputs!$C$15,0)</f>
        <v>0</v>
      </c>
      <c r="C21" s="36" t="n">
        <f aca="false">$B$9+$B$12+(B21+Inputs!$C$22)/A21+ROUNDUP(A21*($B$10+$B$11)/Inputs!$C$23,0)*Inputs!$C$26/A21</f>
        <v>25922.1987134534</v>
      </c>
      <c r="D21" s="36" t="n">
        <f aca="false">$B$9+$B$14+(Inputs!$C$48+B21+Inputs!$C$22)/A21+ROUNDUP(A21*($B$10+$B$11)/Inputs!$C$23,0)*Inputs!$C$26/A21</f>
        <v>26624.9987134534</v>
      </c>
      <c r="E21" s="36" t="n">
        <f aca="false">$B$15+$B$7-$B$8+$B$13+(ROUNDUP(A21/Inputs!$C$25,0)*Inputs!$C$49+B21+Inputs!$C$22)/A21+ROUNDUP(A21*$B$11/Inputs!$C$23,0)*Inputs!$C$26/A21</f>
        <v>28087.4368845843</v>
      </c>
      <c r="F21" s="36" t="n">
        <f aca="false">IF(ISNUMBER($B$16),$B$16+(Inputs!$C$50+B21+Inputs!$C$22)/A21+ROUNDUP(A21*($B$10+$B$11)/Inputs!$C$24,0)*Inputs!$C$26/A21,"not quoted")</f>
        <v>33841.6666666667</v>
      </c>
      <c r="G21" s="36" t="n">
        <f aca="false">D21-C21</f>
        <v>702.799999999999</v>
      </c>
      <c r="H21" s="36" t="n">
        <f aca="false">E21-C21</f>
        <v>2165.23817113095</v>
      </c>
      <c r="I21" s="36" t="n">
        <f aca="false">IF(ISNUMBER(F21),F21-C21,NA())</f>
        <v>7919.46795321327</v>
      </c>
    </row>
    <row r="22" customFormat="false" ht="15" hidden="false" customHeight="false" outlineLevel="0" collapsed="false">
      <c r="A22" s="40" t="n">
        <v>4</v>
      </c>
      <c r="B22" s="36" t="n">
        <f aca="false">IF($B$5="40HC",ROUNDUP(A22/$B$6,0)*Inputs!$C$15,0)</f>
        <v>0</v>
      </c>
      <c r="C22" s="36" t="n">
        <f aca="false">$B$9+$B$12+(B22+Inputs!$C$22)/A22+ROUNDUP(A22*($B$10+$B$11)/Inputs!$C$23,0)*Inputs!$C$26/A22</f>
        <v>25836.7820467867</v>
      </c>
      <c r="D22" s="36" t="n">
        <f aca="false">$B$9+$B$14+(Inputs!$C$48+B22+Inputs!$C$22)/A22+ROUNDUP(A22*($B$10+$B$11)/Inputs!$C$23,0)*Inputs!$C$26/A22</f>
        <v>26331.2487134534</v>
      </c>
      <c r="E22" s="36" t="n">
        <f aca="false">$B$15+$B$7-$B$8+$B$13+(ROUNDUP(A22/Inputs!$C$25,0)*Inputs!$C$49+B22+Inputs!$C$22)/A22+ROUNDUP(A22*$B$11/Inputs!$C$23,0)*Inputs!$C$26/A22</f>
        <v>28302.0202179177</v>
      </c>
      <c r="F22" s="36" t="n">
        <f aca="false">IF(ISNUMBER($B$16),$B$16+(Inputs!$C$50+B22+Inputs!$C$22)/A22+ROUNDUP(A22*($B$10+$B$11)/Inputs!$C$24,0)*Inputs!$C$26/A22,"not quoted")</f>
        <v>33131.25</v>
      </c>
      <c r="G22" s="36" t="n">
        <f aca="false">D22-C22</f>
        <v>494.466666666667</v>
      </c>
      <c r="H22" s="36" t="n">
        <f aca="false">E22-C22</f>
        <v>2465.23817113095</v>
      </c>
      <c r="I22" s="36" t="n">
        <f aca="false">IF(ISNUMBER(F22),F22-C22,NA())</f>
        <v>7294.46795321328</v>
      </c>
    </row>
    <row r="23" customFormat="false" ht="15" hidden="false" customHeight="false" outlineLevel="0" collapsed="false">
      <c r="A23" s="40" t="n">
        <v>5</v>
      </c>
      <c r="B23" s="36" t="n">
        <f aca="false">IF($B$5="40HC",ROUNDUP(A23/$B$6,0)*Inputs!$C$15,0)</f>
        <v>0</v>
      </c>
      <c r="C23" s="36" t="n">
        <f aca="false">$B$9+$B$12+(B23+Inputs!$C$22)/A23+ROUNDUP(A23*($B$10+$B$11)/Inputs!$C$23,0)*Inputs!$C$26/A23</f>
        <v>25785.5320467867</v>
      </c>
      <c r="D23" s="36" t="n">
        <f aca="false">$B$9+$B$14+(Inputs!$C$48+B23+Inputs!$C$22)/A23+ROUNDUP(A23*($B$10+$B$11)/Inputs!$C$23,0)*Inputs!$C$26/A23</f>
        <v>26154.9987134534</v>
      </c>
      <c r="E23" s="36" t="n">
        <f aca="false">$B$15+$B$7-$B$8+$B$13+(ROUNDUP(A23/Inputs!$C$25,0)*Inputs!$C$49+B23+Inputs!$C$22)/A23+ROUNDUP(A23*$B$11/Inputs!$C$23,0)*Inputs!$C$26/A23</f>
        <v>28070.7702179177</v>
      </c>
      <c r="F23" s="36" t="n">
        <f aca="false">IF(ISNUMBER($B$16),$B$16+(Inputs!$C$50+B23+Inputs!$C$22)/A23+ROUNDUP(A23*($B$10+$B$11)/Inputs!$C$24,0)*Inputs!$C$26/A23,"not quoted")</f>
        <v>32705</v>
      </c>
      <c r="G23" s="36" t="n">
        <f aca="false">D23-C23</f>
        <v>369.466666666667</v>
      </c>
      <c r="H23" s="36" t="n">
        <f aca="false">E23-C23</f>
        <v>2285.23817113095</v>
      </c>
      <c r="I23" s="36" t="n">
        <f aca="false">IF(ISNUMBER(F23),F23-C23,NA())</f>
        <v>6919.46795321328</v>
      </c>
    </row>
    <row r="24" customFormat="false" ht="15" hidden="false" customHeight="false" outlineLevel="0" collapsed="false">
      <c r="A24" s="40" t="n">
        <v>6</v>
      </c>
      <c r="B24" s="36" t="n">
        <f aca="false">IF($B$5="40HC",ROUNDUP(A24/$B$6,0)*Inputs!$C$15,0)</f>
        <v>0</v>
      </c>
      <c r="C24" s="36" t="n">
        <f aca="false">$B$9+$B$12+(B24+Inputs!$C$22)/A24+ROUNDUP(A24*($B$10+$B$11)/Inputs!$C$23,0)*Inputs!$C$26/A24</f>
        <v>25751.3653801201</v>
      </c>
      <c r="D24" s="36" t="n">
        <f aca="false">$B$9+$B$14+(Inputs!$C$48+B24+Inputs!$C$22)/A24+ROUNDUP(A24*($B$10+$B$11)/Inputs!$C$23,0)*Inputs!$C$26/A24</f>
        <v>26037.4987134534</v>
      </c>
      <c r="E24" s="36" t="n">
        <f aca="false">$B$15+$B$7-$B$8+$B$13+(ROUNDUP(A24/Inputs!$C$25,0)*Inputs!$C$49+B24+Inputs!$C$22)/A24+ROUNDUP(A24*$B$11/Inputs!$C$23,0)*Inputs!$C$26/A24</f>
        <v>27916.603551251</v>
      </c>
      <c r="F24" s="36" t="n">
        <f aca="false">IF(ISNUMBER($B$16),$B$16+(Inputs!$C$50+B24+Inputs!$C$22)/A24+ROUNDUP(A24*($B$10+$B$11)/Inputs!$C$24,0)*Inputs!$C$26/A24,"not quoted")</f>
        <v>32420.8333333333</v>
      </c>
      <c r="G24" s="36" t="n">
        <f aca="false">D24-C24</f>
        <v>286.133333333335</v>
      </c>
      <c r="H24" s="36" t="n">
        <f aca="false">E24-C24</f>
        <v>2165.23817113095</v>
      </c>
      <c r="I24" s="36" t="n">
        <f aca="false">IF(ISNUMBER(F24),F24-C24,NA())</f>
        <v>6669.46795321328</v>
      </c>
    </row>
    <row r="25" customFormat="false" ht="15" hidden="false" customHeight="false" outlineLevel="0" collapsed="false">
      <c r="A25" s="40" t="n">
        <v>7</v>
      </c>
      <c r="B25" s="36" t="n">
        <f aca="false">IF($B$5="40HC",ROUNDUP(A25/$B$6,0)*Inputs!$C$15,0)</f>
        <v>0</v>
      </c>
      <c r="C25" s="36" t="n">
        <f aca="false">$B$9+$B$12+(B25+Inputs!$C$22)/A25+ROUNDUP(A25*($B$10+$B$11)/Inputs!$C$23,0)*Inputs!$C$26/A25</f>
        <v>25726.9606182153</v>
      </c>
      <c r="D25" s="36" t="n">
        <f aca="false">$B$9+$B$14+(Inputs!$C$48+B25+Inputs!$C$22)/A25+ROUNDUP(A25*($B$10+$B$11)/Inputs!$C$23,0)*Inputs!$C$26/A25</f>
        <v>25953.5701420248</v>
      </c>
      <c r="E25" s="36" t="n">
        <f aca="false">$B$15+$B$7-$B$8+$B$13+(ROUNDUP(A25/Inputs!$C$25,0)*Inputs!$C$49+B25+Inputs!$C$22)/A25+ROUNDUP(A25*$B$11/Inputs!$C$23,0)*Inputs!$C$26/A25</f>
        <v>28063.6273607748</v>
      </c>
      <c r="F25" s="36" t="n">
        <f aca="false">IF(ISNUMBER($B$16),$B$16+(Inputs!$C$50+B25+Inputs!$C$22)/A25+ROUNDUP(A25*($B$10+$B$11)/Inputs!$C$24,0)*Inputs!$C$26/A25,"not quoted")</f>
        <v>32217.8571428571</v>
      </c>
      <c r="G25" s="36" t="n">
        <f aca="false">D25-C25</f>
        <v>226.609523809522</v>
      </c>
      <c r="H25" s="36" t="n">
        <f aca="false">E25-C25</f>
        <v>2336.66674255952</v>
      </c>
      <c r="I25" s="36" t="n">
        <f aca="false">IF(ISNUMBER(F25),F25-C25,NA())</f>
        <v>6490.89652464185</v>
      </c>
    </row>
    <row r="26" customFormat="false" ht="15" hidden="false" customHeight="false" outlineLevel="0" collapsed="false">
      <c r="A26" s="40" t="n">
        <v>8</v>
      </c>
      <c r="B26" s="36" t="n">
        <f aca="false">IF($B$5="40HC",ROUNDUP(A26/$B$6,0)*Inputs!$C$15,0)</f>
        <v>0</v>
      </c>
      <c r="C26" s="36" t="n">
        <f aca="false">$B$9+$B$12+(B26+Inputs!$C$22)/A26+ROUNDUP(A26*($B$10+$B$11)/Inputs!$C$23,0)*Inputs!$C$26/A26</f>
        <v>25708.6570467867</v>
      </c>
      <c r="D26" s="36" t="n">
        <f aca="false">$B$9+$B$14+(Inputs!$C$48+B26+Inputs!$C$22)/A26+ROUNDUP(A26*($B$10+$B$11)/Inputs!$C$23,0)*Inputs!$C$26/A26</f>
        <v>25890.6237134534</v>
      </c>
      <c r="E26" s="36" t="n">
        <f aca="false">$B$15+$B$7-$B$8+$B$13+(ROUNDUP(A26/Inputs!$C$25,0)*Inputs!$C$49+B26+Inputs!$C$22)/A26+ROUNDUP(A26*$B$11/Inputs!$C$23,0)*Inputs!$C$26/A26</f>
        <v>27948.8952179177</v>
      </c>
      <c r="F26" s="36" t="n">
        <f aca="false">IF(ISNUMBER($B$16),$B$16+(Inputs!$C$50+B26+Inputs!$C$22)/A26+ROUNDUP(A26*($B$10+$B$11)/Inputs!$C$24,0)*Inputs!$C$26/A26,"not quoted")</f>
        <v>32065.625</v>
      </c>
      <c r="G26" s="36" t="n">
        <f aca="false">D26-C26</f>
        <v>181.966666666667</v>
      </c>
      <c r="H26" s="36" t="n">
        <f aca="false">E26-C26</f>
        <v>2240.23817113095</v>
      </c>
      <c r="I26" s="36" t="n">
        <f aca="false">IF(ISNUMBER(F26),F26-C26,NA())</f>
        <v>6356.96795321328</v>
      </c>
    </row>
    <row r="27" customFormat="false" ht="15" hidden="false" customHeight="false" outlineLevel="0" collapsed="false">
      <c r="A27" s="40" t="n">
        <v>9</v>
      </c>
      <c r="B27" s="36" t="n">
        <f aca="false">IF($B$5="40HC",ROUNDUP(A27/$B$6,0)*Inputs!$C$15,0)</f>
        <v>0</v>
      </c>
      <c r="C27" s="36" t="n">
        <f aca="false">$B$9+$B$12+(B27+Inputs!$C$22)/A27+ROUNDUP(A27*($B$10+$B$11)/Inputs!$C$23,0)*Inputs!$C$26/A27</f>
        <v>25694.4209356756</v>
      </c>
      <c r="D27" s="36" t="n">
        <f aca="false">$B$9+$B$14+(Inputs!$C$48+B27+Inputs!$C$22)/A27+ROUNDUP(A27*($B$10+$B$11)/Inputs!$C$23,0)*Inputs!$C$26/A27</f>
        <v>25841.6653801201</v>
      </c>
      <c r="E27" s="36" t="n">
        <f aca="false">$B$15+$B$7-$B$8+$B$13+(ROUNDUP(A27/Inputs!$C$25,0)*Inputs!$C$49+B27+Inputs!$C$22)/A27+ROUNDUP(A27*$B$11/Inputs!$C$23,0)*Inputs!$C$26/A27</f>
        <v>27859.6591068066</v>
      </c>
      <c r="F27" s="36" t="n">
        <f aca="false">IF(ISNUMBER($B$16),$B$16+(Inputs!$C$50+B27+Inputs!$C$22)/A27+ROUNDUP(A27*($B$10+$B$11)/Inputs!$C$24,0)*Inputs!$C$26/A27,"not quoted")</f>
        <v>31947.2222222222</v>
      </c>
      <c r="G27" s="36" t="n">
        <f aca="false">D27-C27</f>
        <v>147.244444444445</v>
      </c>
      <c r="H27" s="36" t="n">
        <f aca="false">E27-C27</f>
        <v>2165.23817113095</v>
      </c>
      <c r="I27" s="36" t="n">
        <f aca="false">IF(ISNUMBER(F27),F27-C27,NA())</f>
        <v>6252.80128654661</v>
      </c>
    </row>
    <row r="28" customFormat="false" ht="15" hidden="false" customHeight="false" outlineLevel="0" collapsed="false">
      <c r="A28" s="40" t="n">
        <v>10</v>
      </c>
      <c r="B28" s="36" t="n">
        <f aca="false">IF($B$5="40HC",ROUNDUP(A28/$B$6,0)*Inputs!$C$15,0)</f>
        <v>0</v>
      </c>
      <c r="C28" s="36" t="n">
        <f aca="false">$B$9+$B$12+(B28+Inputs!$C$22)/A28+ROUNDUP(A28*($B$10+$B$11)/Inputs!$C$23,0)*Inputs!$C$26/A28</f>
        <v>25683.0320467867</v>
      </c>
      <c r="D28" s="36" t="n">
        <f aca="false">$B$9+$B$14+(Inputs!$C$48+B28+Inputs!$C$22)/A28+ROUNDUP(A28*($B$10+$B$11)/Inputs!$C$23,0)*Inputs!$C$26/A28</f>
        <v>25802.4987134534</v>
      </c>
      <c r="E28" s="36" t="n">
        <f aca="false">$B$15+$B$7-$B$8+$B$13+(ROUNDUP(A28/Inputs!$C$25,0)*Inputs!$C$49+B28+Inputs!$C$22)/A28+ROUNDUP(A28*$B$11/Inputs!$C$23,0)*Inputs!$C$26/A28</f>
        <v>27968.2702179177</v>
      </c>
      <c r="F28" s="36" t="n">
        <f aca="false">IF(ISNUMBER($B$16),$B$16+(Inputs!$C$50+B28+Inputs!$C$22)/A28+ROUNDUP(A28*($B$10+$B$11)/Inputs!$C$24,0)*Inputs!$C$26/A28,"not quoted")</f>
        <v>31852.5</v>
      </c>
      <c r="G28" s="36" t="n">
        <f aca="false">D28-C28</f>
        <v>119.466666666667</v>
      </c>
      <c r="H28" s="36" t="n">
        <f aca="false">E28-C28</f>
        <v>2285.23817113095</v>
      </c>
      <c r="I28" s="36" t="n">
        <f aca="false">IF(ISNUMBER(F28),F28-C28,NA())</f>
        <v>6169.46795321328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D6A7"/>
    <pageSetUpPr fitToPage="true"/>
  </sheetPr>
  <dimension ref="A1:N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6" t="s">
        <v>283</v>
      </c>
    </row>
    <row r="2" customFormat="false" ht="15" hidden="false" customHeight="false" outlineLevel="0" collapsed="false">
      <c r="A2" s="2" t="s">
        <v>284</v>
      </c>
    </row>
    <row r="3" customFormat="false" ht="30" hidden="false" customHeight="true" outlineLevel="0" collapsed="false">
      <c r="A3" s="46" t="s">
        <v>285</v>
      </c>
      <c r="B3" s="46" t="s">
        <v>286</v>
      </c>
      <c r="C3" s="46" t="s">
        <v>287</v>
      </c>
      <c r="D3" s="46" t="s">
        <v>288</v>
      </c>
      <c r="E3" s="46" t="s">
        <v>289</v>
      </c>
      <c r="F3" s="46" t="s">
        <v>290</v>
      </c>
      <c r="G3" s="46" t="s">
        <v>291</v>
      </c>
      <c r="H3" s="46" t="s">
        <v>292</v>
      </c>
      <c r="I3" s="46" t="s">
        <v>293</v>
      </c>
      <c r="J3" s="46" t="s">
        <v>294</v>
      </c>
      <c r="K3" s="47" t="s">
        <v>295</v>
      </c>
      <c r="L3" s="47" t="s">
        <v>84</v>
      </c>
      <c r="M3" s="47" t="s">
        <v>296</v>
      </c>
      <c r="N3" s="47" t="s">
        <v>297</v>
      </c>
    </row>
    <row r="4" customFormat="false" ht="15" hidden="false" customHeight="false" outlineLevel="0" collapsed="false">
      <c r="A4" s="20" t="n">
        <v>11832</v>
      </c>
      <c r="B4" s="22" t="n">
        <v>45938</v>
      </c>
      <c r="C4" s="20" t="s">
        <v>161</v>
      </c>
      <c r="D4" s="20" t="s">
        <v>298</v>
      </c>
      <c r="E4" s="20" t="s">
        <v>299</v>
      </c>
      <c r="F4" s="20" t="n">
        <v>6</v>
      </c>
      <c r="G4" s="20" t="s">
        <v>300</v>
      </c>
      <c r="H4" s="21" t="n">
        <v>640</v>
      </c>
      <c r="I4" s="21" t="n">
        <v>3840</v>
      </c>
      <c r="J4" s="20"/>
      <c r="K4" s="23" t="s">
        <v>161</v>
      </c>
      <c r="L4" s="20" t="n">
        <f aca="false">VLOOKUP(K4,'Job Costing'!$A$5:$B$23,2,0)</f>
        <v>2600</v>
      </c>
      <c r="M4" s="20" t="str">
        <f aca="false">VLOOKUP(D4,'Data - Items'!$A$4:$I$35,9,0)</f>
        <v>Bubble wrap</v>
      </c>
      <c r="N4" s="34" t="n">
        <f aca="false">IF(M4="Timber",F4*VLOOKUP(D4,'Data - Items'!$A$4:$H$35,8,0),0)</f>
        <v>0</v>
      </c>
    </row>
    <row r="5" customFormat="false" ht="15" hidden="false" customHeight="false" outlineLevel="0" collapsed="false">
      <c r="A5" s="20" t="n">
        <v>11832</v>
      </c>
      <c r="B5" s="22" t="n">
        <v>45938</v>
      </c>
      <c r="C5" s="20" t="s">
        <v>161</v>
      </c>
      <c r="D5" s="20" t="s">
        <v>301</v>
      </c>
      <c r="E5" s="20" t="s">
        <v>302</v>
      </c>
      <c r="F5" s="20" t="n">
        <v>6</v>
      </c>
      <c r="G5" s="20" t="s">
        <v>303</v>
      </c>
      <c r="H5" s="21" t="n">
        <v>78</v>
      </c>
      <c r="I5" s="21" t="n">
        <v>468</v>
      </c>
      <c r="J5" s="20"/>
      <c r="K5" s="23" t="s">
        <v>161</v>
      </c>
      <c r="L5" s="20" t="n">
        <f aca="false">VLOOKUP(K5,'Job Costing'!$A$5:$B$23,2,0)</f>
        <v>2600</v>
      </c>
      <c r="M5" s="20" t="str">
        <f aca="false">VLOOKUP(D5,'Data - Items'!$A$4:$I$35,9,0)</f>
        <v>Gum tape</v>
      </c>
      <c r="N5" s="34" t="n">
        <f aca="false">IF(M5="Timber",F5*VLOOKUP(D5,'Data - Items'!$A$4:$H$35,8,0),0)</f>
        <v>0</v>
      </c>
    </row>
    <row r="6" customFormat="false" ht="15" hidden="false" customHeight="false" outlineLevel="0" collapsed="false">
      <c r="A6" s="20" t="n">
        <v>11832</v>
      </c>
      <c r="B6" s="22" t="n">
        <v>45938</v>
      </c>
      <c r="C6" s="20" t="s">
        <v>161</v>
      </c>
      <c r="D6" s="20" t="s">
        <v>304</v>
      </c>
      <c r="E6" s="20" t="s">
        <v>305</v>
      </c>
      <c r="F6" s="20" t="n">
        <v>1600</v>
      </c>
      <c r="G6" s="20" t="s">
        <v>306</v>
      </c>
      <c r="H6" s="21" t="n">
        <v>5</v>
      </c>
      <c r="I6" s="21" t="n">
        <v>8000</v>
      </c>
      <c r="J6" s="20"/>
      <c r="K6" s="23" t="s">
        <v>161</v>
      </c>
      <c r="L6" s="20" t="n">
        <f aca="false">VLOOKUP(K6,'Job Costing'!$A$5:$B$23,2,0)</f>
        <v>2600</v>
      </c>
      <c r="M6" s="20" t="str">
        <f aca="false">VLOOKUP(D6,'Data - Items'!$A$4:$I$35,9,0)</f>
        <v>Tarpaulin</v>
      </c>
      <c r="N6" s="34" t="n">
        <f aca="false">IF(M6="Timber",F6*VLOOKUP(D6,'Data - Items'!$A$4:$H$35,8,0),0)</f>
        <v>0</v>
      </c>
    </row>
    <row r="7" customFormat="false" ht="15" hidden="false" customHeight="false" outlineLevel="0" collapsed="false">
      <c r="A7" s="20" t="n">
        <v>11832</v>
      </c>
      <c r="B7" s="22" t="n">
        <v>45938</v>
      </c>
      <c r="C7" s="20" t="s">
        <v>161</v>
      </c>
      <c r="D7" s="20" t="s">
        <v>307</v>
      </c>
      <c r="E7" s="20" t="s">
        <v>308</v>
      </c>
      <c r="F7" s="20" t="n">
        <v>4</v>
      </c>
      <c r="G7" s="20" t="s">
        <v>300</v>
      </c>
      <c r="H7" s="21" t="n">
        <v>2100</v>
      </c>
      <c r="I7" s="21" t="n">
        <v>8400</v>
      </c>
      <c r="J7" s="20"/>
      <c r="K7" s="23" t="s">
        <v>161</v>
      </c>
      <c r="L7" s="20" t="n">
        <f aca="false">VLOOKUP(K7,'Job Costing'!$A$5:$B$23,2,0)</f>
        <v>2600</v>
      </c>
      <c r="M7" s="20" t="str">
        <f aca="false">VLOOKUP(D7,'Data - Items'!$A$4:$I$35,9,0)</f>
        <v>Foam</v>
      </c>
      <c r="N7" s="34" t="n">
        <f aca="false">IF(M7="Timber",F7*VLOOKUP(D7,'Data - Items'!$A$4:$H$35,8,0),0)</f>
        <v>0</v>
      </c>
    </row>
    <row r="8" customFormat="false" ht="15" hidden="false" customHeight="false" outlineLevel="0" collapsed="false">
      <c r="A8" s="20" t="n">
        <v>11832</v>
      </c>
      <c r="B8" s="22" t="n">
        <v>45938</v>
      </c>
      <c r="C8" s="20" t="s">
        <v>161</v>
      </c>
      <c r="D8" s="20" t="s">
        <v>309</v>
      </c>
      <c r="E8" s="20" t="s">
        <v>310</v>
      </c>
      <c r="F8" s="20" t="n">
        <v>8</v>
      </c>
      <c r="G8" s="20" t="s">
        <v>311</v>
      </c>
      <c r="H8" s="21" t="n">
        <v>90</v>
      </c>
      <c r="I8" s="21" t="n">
        <v>720</v>
      </c>
      <c r="J8" s="20"/>
      <c r="K8" s="23" t="s">
        <v>161</v>
      </c>
      <c r="L8" s="20" t="n">
        <f aca="false">VLOOKUP(K8,'Job Costing'!$A$5:$B$23,2,0)</f>
        <v>2600</v>
      </c>
      <c r="M8" s="20" t="str">
        <f aca="false">VLOOKUP(D8,'Data - Items'!$A$4:$I$35,9,0)</f>
        <v>Nails</v>
      </c>
      <c r="N8" s="34" t="n">
        <f aca="false">IF(M8="Timber",F8*VLOOKUP(D8,'Data - Items'!$A$4:$H$35,8,0),0)</f>
        <v>0</v>
      </c>
    </row>
    <row r="9" customFormat="false" ht="15" hidden="false" customHeight="false" outlineLevel="0" collapsed="false">
      <c r="A9" s="20" t="n">
        <v>11832</v>
      </c>
      <c r="B9" s="22" t="n">
        <v>45938</v>
      </c>
      <c r="C9" s="20" t="s">
        <v>161</v>
      </c>
      <c r="D9" s="20" t="s">
        <v>312</v>
      </c>
      <c r="E9" s="20" t="s">
        <v>313</v>
      </c>
      <c r="F9" s="20" t="n">
        <v>18</v>
      </c>
      <c r="G9" s="20" t="s">
        <v>303</v>
      </c>
      <c r="H9" s="21" t="n">
        <v>160</v>
      </c>
      <c r="I9" s="21" t="n">
        <v>2880</v>
      </c>
      <c r="J9" s="20"/>
      <c r="K9" s="23" t="s">
        <v>161</v>
      </c>
      <c r="L9" s="20" t="n">
        <f aca="false">VLOOKUP(K9,'Job Costing'!$A$5:$B$23,2,0)</f>
        <v>2600</v>
      </c>
      <c r="M9" s="20" t="str">
        <f aca="false">VLOOKUP(D9,'Data - Items'!$A$4:$I$35,9,0)</f>
        <v>Ply cover</v>
      </c>
      <c r="N9" s="34" t="n">
        <f aca="false">IF(M9="Timber",F9*VLOOKUP(D9,'Data - Items'!$A$4:$H$35,8,0),0)</f>
        <v>0</v>
      </c>
    </row>
    <row r="10" customFormat="false" ht="15" hidden="false" customHeight="false" outlineLevel="0" collapsed="false">
      <c r="A10" s="20" t="n">
        <v>11832</v>
      </c>
      <c r="B10" s="22" t="n">
        <v>45938</v>
      </c>
      <c r="C10" s="20" t="s">
        <v>161</v>
      </c>
      <c r="D10" s="20" t="s">
        <v>314</v>
      </c>
      <c r="E10" s="20" t="s">
        <v>315</v>
      </c>
      <c r="F10" s="20" t="n">
        <v>8</v>
      </c>
      <c r="G10" s="20" t="s">
        <v>303</v>
      </c>
      <c r="H10" s="21" t="n">
        <v>880</v>
      </c>
      <c r="I10" s="21" t="n">
        <v>7040</v>
      </c>
      <c r="J10" s="20"/>
      <c r="K10" s="23" t="s">
        <v>161</v>
      </c>
      <c r="L10" s="20" t="n">
        <f aca="false">VLOOKUP(K10,'Job Costing'!$A$5:$B$23,2,0)</f>
        <v>2600</v>
      </c>
      <c r="M10" s="20" t="str">
        <f aca="false">VLOOKUP(D10,'Data - Items'!$A$4:$I$35,9,0)</f>
        <v>Ratchet belt</v>
      </c>
      <c r="N10" s="34" t="n">
        <f aca="false">IF(M10="Timber",F10*VLOOKUP(D10,'Data - Items'!$A$4:$H$35,8,0),0)</f>
        <v>0</v>
      </c>
    </row>
    <row r="11" customFormat="false" ht="15" hidden="false" customHeight="false" outlineLevel="0" collapsed="false">
      <c r="A11" s="20" t="n">
        <v>11832</v>
      </c>
      <c r="B11" s="22" t="n">
        <v>45938</v>
      </c>
      <c r="C11" s="20" t="s">
        <v>161</v>
      </c>
      <c r="D11" s="20" t="s">
        <v>316</v>
      </c>
      <c r="E11" s="20" t="s">
        <v>317</v>
      </c>
      <c r="F11" s="20" t="n">
        <v>13.9</v>
      </c>
      <c r="G11" s="20" t="s">
        <v>318</v>
      </c>
      <c r="H11" s="21" t="n">
        <v>158</v>
      </c>
      <c r="I11" s="21" t="n">
        <v>2196.2</v>
      </c>
      <c r="J11" s="20"/>
      <c r="K11" s="23" t="s">
        <v>161</v>
      </c>
      <c r="L11" s="20" t="n">
        <f aca="false">VLOOKUP(K11,'Job Costing'!$A$5:$B$23,2,0)</f>
        <v>2600</v>
      </c>
      <c r="M11" s="20" t="str">
        <f aca="false">VLOOKUP(D11,'Data - Items'!$A$4:$I$35,9,0)</f>
        <v>Stretch film</v>
      </c>
      <c r="N11" s="34" t="n">
        <f aca="false">IF(M11="Timber",F11*VLOOKUP(D11,'Data - Items'!$A$4:$H$35,8,0),0)</f>
        <v>0</v>
      </c>
    </row>
    <row r="12" customFormat="false" ht="15" hidden="false" customHeight="false" outlineLevel="0" collapsed="false">
      <c r="A12" s="20" t="n">
        <v>11832</v>
      </c>
      <c r="B12" s="22" t="n">
        <v>45938</v>
      </c>
      <c r="C12" s="20" t="s">
        <v>161</v>
      </c>
      <c r="D12" s="20" t="s">
        <v>319</v>
      </c>
      <c r="E12" s="20" t="s">
        <v>221</v>
      </c>
      <c r="F12" s="20" t="n">
        <v>19</v>
      </c>
      <c r="G12" s="20" t="s">
        <v>303</v>
      </c>
      <c r="H12" s="21" t="n">
        <v>420.24</v>
      </c>
      <c r="I12" s="21" t="n">
        <v>7984.56</v>
      </c>
      <c r="J12" s="20"/>
      <c r="K12" s="23" t="s">
        <v>161</v>
      </c>
      <c r="L12" s="20" t="n">
        <f aca="false">VLOOKUP(K12,'Job Costing'!$A$5:$B$23,2,0)</f>
        <v>2600</v>
      </c>
      <c r="M12" s="20" t="str">
        <f aca="false">VLOOKUP(D12,'Data - Items'!$A$4:$I$35,9,0)</f>
        <v>Timber</v>
      </c>
      <c r="N12" s="34" t="n">
        <f aca="false">IF(M12="Timber",F12*VLOOKUP(D12,'Data - Items'!$A$4:$H$35,8,0),0)</f>
        <v>11.40513</v>
      </c>
    </row>
    <row r="13" customFormat="false" ht="15" hidden="false" customHeight="false" outlineLevel="0" collapsed="false">
      <c r="A13" s="20" t="n">
        <v>11832</v>
      </c>
      <c r="B13" s="22" t="n">
        <v>45938</v>
      </c>
      <c r="C13" s="20" t="s">
        <v>161</v>
      </c>
      <c r="D13" s="20" t="s">
        <v>320</v>
      </c>
      <c r="E13" s="20" t="s">
        <v>204</v>
      </c>
      <c r="F13" s="20" t="n">
        <v>21</v>
      </c>
      <c r="G13" s="20" t="s">
        <v>303</v>
      </c>
      <c r="H13" s="21" t="n">
        <v>18.54</v>
      </c>
      <c r="I13" s="21" t="n">
        <v>389.34</v>
      </c>
      <c r="J13" s="20"/>
      <c r="K13" s="23" t="s">
        <v>161</v>
      </c>
      <c r="L13" s="20" t="n">
        <f aca="false">VLOOKUP(K13,'Job Costing'!$A$5:$B$23,2,0)</f>
        <v>2600</v>
      </c>
      <c r="M13" s="20" t="str">
        <f aca="false">VLOOKUP(D13,'Data - Items'!$A$4:$I$35,9,0)</f>
        <v>Timber</v>
      </c>
      <c r="N13" s="34" t="n">
        <f aca="false">IF(M13="Timber",F13*VLOOKUP(D13,'Data - Items'!$A$4:$H$35,8,0),0)</f>
        <v>0.5561325</v>
      </c>
    </row>
    <row r="14" customFormat="false" ht="15" hidden="false" customHeight="false" outlineLevel="0" collapsed="false">
      <c r="A14" s="20" t="n">
        <v>11832</v>
      </c>
      <c r="B14" s="22" t="n">
        <v>45938</v>
      </c>
      <c r="C14" s="20" t="s">
        <v>161</v>
      </c>
      <c r="D14" s="20" t="s">
        <v>321</v>
      </c>
      <c r="E14" s="20" t="s">
        <v>222</v>
      </c>
      <c r="F14" s="20" t="n">
        <v>8</v>
      </c>
      <c r="G14" s="20" t="s">
        <v>303</v>
      </c>
      <c r="H14" s="21" t="n">
        <v>472.78</v>
      </c>
      <c r="I14" s="21" t="n">
        <v>3782.24</v>
      </c>
      <c r="J14" s="20"/>
      <c r="K14" s="23" t="s">
        <v>161</v>
      </c>
      <c r="L14" s="20" t="n">
        <f aca="false">VLOOKUP(K14,'Job Costing'!$A$5:$B$23,2,0)</f>
        <v>2600</v>
      </c>
      <c r="M14" s="20" t="str">
        <f aca="false">VLOOKUP(D14,'Data - Items'!$A$4:$I$35,9,0)</f>
        <v>Timber</v>
      </c>
      <c r="N14" s="34" t="n">
        <f aca="false">IF(M14="Timber",F14*VLOOKUP(D14,'Data - Items'!$A$4:$H$35,8,0),0)</f>
        <v>5.40243</v>
      </c>
    </row>
    <row r="15" customFormat="false" ht="15" hidden="false" customHeight="false" outlineLevel="0" collapsed="false">
      <c r="A15" s="20" t="n">
        <v>11832</v>
      </c>
      <c r="B15" s="22" t="n">
        <v>45938</v>
      </c>
      <c r="C15" s="20" t="s">
        <v>161</v>
      </c>
      <c r="D15" s="20" t="s">
        <v>322</v>
      </c>
      <c r="E15" s="20" t="s">
        <v>223</v>
      </c>
      <c r="F15" s="20" t="n">
        <v>11</v>
      </c>
      <c r="G15" s="20" t="s">
        <v>303</v>
      </c>
      <c r="H15" s="21" t="n">
        <v>1042.89</v>
      </c>
      <c r="I15" s="21" t="n">
        <v>11471.79</v>
      </c>
      <c r="J15" s="20"/>
      <c r="K15" s="23" t="s">
        <v>161</v>
      </c>
      <c r="L15" s="20" t="n">
        <f aca="false">VLOOKUP(K15,'Job Costing'!$A$5:$B$23,2,0)</f>
        <v>2600</v>
      </c>
      <c r="M15" s="20" t="str">
        <f aca="false">VLOOKUP(D15,'Data - Items'!$A$4:$I$35,9,0)</f>
        <v>Timber</v>
      </c>
      <c r="N15" s="34" t="n">
        <f aca="false">IF(M15="Timber",F15*VLOOKUP(D15,'Data - Items'!$A$4:$H$35,8,0),0)</f>
        <v>16.386046875</v>
      </c>
    </row>
    <row r="16" customFormat="false" ht="15" hidden="false" customHeight="false" outlineLevel="0" collapsed="false">
      <c r="A16" s="20" t="n">
        <v>11832</v>
      </c>
      <c r="B16" s="22" t="n">
        <v>45938</v>
      </c>
      <c r="C16" s="20" t="s">
        <v>161</v>
      </c>
      <c r="D16" s="20" t="s">
        <v>323</v>
      </c>
      <c r="E16" s="20" t="s">
        <v>220</v>
      </c>
      <c r="F16" s="20" t="n">
        <v>20</v>
      </c>
      <c r="G16" s="20" t="s">
        <v>303</v>
      </c>
      <c r="H16" s="21" t="n">
        <v>395.52</v>
      </c>
      <c r="I16" s="21" t="n">
        <v>7910.4</v>
      </c>
      <c r="J16" s="20"/>
      <c r="K16" s="23" t="s">
        <v>161</v>
      </c>
      <c r="L16" s="20" t="n">
        <f aca="false">VLOOKUP(K16,'Job Costing'!$A$5:$B$23,2,0)</f>
        <v>2600</v>
      </c>
      <c r="M16" s="20" t="str">
        <f aca="false">VLOOKUP(D16,'Data - Items'!$A$4:$I$35,9,0)</f>
        <v>Timber</v>
      </c>
      <c r="N16" s="34" t="n">
        <f aca="false">IF(M16="Timber",F16*VLOOKUP(D16,'Data - Items'!$A$4:$H$35,8,0),0)</f>
        <v>11.2992</v>
      </c>
    </row>
    <row r="17" customFormat="false" ht="15" hidden="false" customHeight="false" outlineLevel="0" collapsed="false">
      <c r="A17" s="20" t="n">
        <v>11853</v>
      </c>
      <c r="B17" s="22" t="n">
        <v>45950</v>
      </c>
      <c r="C17" s="20" t="s">
        <v>163</v>
      </c>
      <c r="D17" s="20" t="s">
        <v>298</v>
      </c>
      <c r="E17" s="20" t="s">
        <v>299</v>
      </c>
      <c r="F17" s="20" t="n">
        <v>3</v>
      </c>
      <c r="G17" s="20" t="s">
        <v>300</v>
      </c>
      <c r="H17" s="21" t="n">
        <v>640</v>
      </c>
      <c r="I17" s="21" t="n">
        <v>1920</v>
      </c>
      <c r="J17" s="20"/>
      <c r="K17" s="23" t="s">
        <v>163</v>
      </c>
      <c r="L17" s="20" t="n">
        <f aca="false">VLOOKUP(K17,'Job Costing'!$A$5:$B$23,2,0)</f>
        <v>2400</v>
      </c>
      <c r="M17" s="20" t="str">
        <f aca="false">VLOOKUP(D17,'Data - Items'!$A$4:$I$35,9,0)</f>
        <v>Bubble wrap</v>
      </c>
      <c r="N17" s="34" t="n">
        <f aca="false">IF(M17="Timber",F17*VLOOKUP(D17,'Data - Items'!$A$4:$H$35,8,0),0)</f>
        <v>0</v>
      </c>
    </row>
    <row r="18" customFormat="false" ht="15" hidden="false" customHeight="false" outlineLevel="0" collapsed="false">
      <c r="A18" s="20" t="n">
        <v>11853</v>
      </c>
      <c r="B18" s="22" t="n">
        <v>45950</v>
      </c>
      <c r="C18" s="20" t="s">
        <v>163</v>
      </c>
      <c r="D18" s="20" t="s">
        <v>301</v>
      </c>
      <c r="E18" s="20" t="s">
        <v>302</v>
      </c>
      <c r="F18" s="20" t="n">
        <v>4</v>
      </c>
      <c r="G18" s="20" t="s">
        <v>303</v>
      </c>
      <c r="H18" s="21" t="n">
        <v>78</v>
      </c>
      <c r="I18" s="21" t="n">
        <v>312</v>
      </c>
      <c r="J18" s="20"/>
      <c r="K18" s="23" t="s">
        <v>163</v>
      </c>
      <c r="L18" s="20" t="n">
        <f aca="false">VLOOKUP(K18,'Job Costing'!$A$5:$B$23,2,0)</f>
        <v>2400</v>
      </c>
      <c r="M18" s="20" t="str">
        <f aca="false">VLOOKUP(D18,'Data - Items'!$A$4:$I$35,9,0)</f>
        <v>Gum tape</v>
      </c>
      <c r="N18" s="34" t="n">
        <f aca="false">IF(M18="Timber",F18*VLOOKUP(D18,'Data - Items'!$A$4:$H$35,8,0),0)</f>
        <v>0</v>
      </c>
    </row>
    <row r="19" customFormat="false" ht="15" hidden="false" customHeight="false" outlineLevel="0" collapsed="false">
      <c r="A19" s="20" t="n">
        <v>11853</v>
      </c>
      <c r="B19" s="22" t="n">
        <v>45950</v>
      </c>
      <c r="C19" s="20" t="s">
        <v>163</v>
      </c>
      <c r="D19" s="20" t="s">
        <v>304</v>
      </c>
      <c r="E19" s="20" t="s">
        <v>305</v>
      </c>
      <c r="F19" s="20" t="n">
        <v>1050</v>
      </c>
      <c r="G19" s="20" t="s">
        <v>306</v>
      </c>
      <c r="H19" s="21" t="n">
        <v>5</v>
      </c>
      <c r="I19" s="21" t="n">
        <v>5250</v>
      </c>
      <c r="J19" s="20"/>
      <c r="K19" s="23" t="s">
        <v>163</v>
      </c>
      <c r="L19" s="20" t="n">
        <f aca="false">VLOOKUP(K19,'Job Costing'!$A$5:$B$23,2,0)</f>
        <v>2400</v>
      </c>
      <c r="M19" s="20" t="str">
        <f aca="false">VLOOKUP(D19,'Data - Items'!$A$4:$I$35,9,0)</f>
        <v>Tarpaulin</v>
      </c>
      <c r="N19" s="34" t="n">
        <f aca="false">IF(M19="Timber",F19*VLOOKUP(D19,'Data - Items'!$A$4:$H$35,8,0),0)</f>
        <v>0</v>
      </c>
    </row>
    <row r="20" customFormat="false" ht="15" hidden="false" customHeight="false" outlineLevel="0" collapsed="false">
      <c r="A20" s="20" t="n">
        <v>11853</v>
      </c>
      <c r="B20" s="22" t="n">
        <v>45950</v>
      </c>
      <c r="C20" s="20" t="s">
        <v>163</v>
      </c>
      <c r="D20" s="20" t="s">
        <v>307</v>
      </c>
      <c r="E20" s="20" t="s">
        <v>308</v>
      </c>
      <c r="F20" s="20" t="n">
        <v>2</v>
      </c>
      <c r="G20" s="20" t="s">
        <v>300</v>
      </c>
      <c r="H20" s="21" t="n">
        <v>2100</v>
      </c>
      <c r="I20" s="21" t="n">
        <v>4200</v>
      </c>
      <c r="J20" s="20"/>
      <c r="K20" s="23" t="s">
        <v>163</v>
      </c>
      <c r="L20" s="20" t="n">
        <f aca="false">VLOOKUP(K20,'Job Costing'!$A$5:$B$23,2,0)</f>
        <v>2400</v>
      </c>
      <c r="M20" s="20" t="str">
        <f aca="false">VLOOKUP(D20,'Data - Items'!$A$4:$I$35,9,0)</f>
        <v>Foam</v>
      </c>
      <c r="N20" s="34" t="n">
        <f aca="false">IF(M20="Timber",F20*VLOOKUP(D20,'Data - Items'!$A$4:$H$35,8,0),0)</f>
        <v>0</v>
      </c>
    </row>
    <row r="21" customFormat="false" ht="15" hidden="false" customHeight="false" outlineLevel="0" collapsed="false">
      <c r="A21" s="20" t="n">
        <v>11853</v>
      </c>
      <c r="B21" s="22" t="n">
        <v>45950</v>
      </c>
      <c r="C21" s="20" t="s">
        <v>163</v>
      </c>
      <c r="D21" s="20" t="s">
        <v>309</v>
      </c>
      <c r="E21" s="20" t="s">
        <v>310</v>
      </c>
      <c r="F21" s="20" t="n">
        <v>5</v>
      </c>
      <c r="G21" s="20" t="s">
        <v>311</v>
      </c>
      <c r="H21" s="21" t="n">
        <v>90</v>
      </c>
      <c r="I21" s="21" t="n">
        <v>450</v>
      </c>
      <c r="J21" s="20"/>
      <c r="K21" s="23" t="s">
        <v>163</v>
      </c>
      <c r="L21" s="20" t="n">
        <f aca="false">VLOOKUP(K21,'Job Costing'!$A$5:$B$23,2,0)</f>
        <v>2400</v>
      </c>
      <c r="M21" s="20" t="str">
        <f aca="false">VLOOKUP(D21,'Data - Items'!$A$4:$I$35,9,0)</f>
        <v>Nails</v>
      </c>
      <c r="N21" s="34" t="n">
        <f aca="false">IF(M21="Timber",F21*VLOOKUP(D21,'Data - Items'!$A$4:$H$35,8,0),0)</f>
        <v>0</v>
      </c>
    </row>
    <row r="22" customFormat="false" ht="15" hidden="false" customHeight="false" outlineLevel="0" collapsed="false">
      <c r="A22" s="20" t="n">
        <v>11853</v>
      </c>
      <c r="B22" s="22" t="n">
        <v>45950</v>
      </c>
      <c r="C22" s="20" t="s">
        <v>163</v>
      </c>
      <c r="D22" s="20" t="s">
        <v>312</v>
      </c>
      <c r="E22" s="20" t="s">
        <v>313</v>
      </c>
      <c r="F22" s="20" t="n">
        <v>11</v>
      </c>
      <c r="G22" s="20" t="s">
        <v>303</v>
      </c>
      <c r="H22" s="21" t="n">
        <v>160</v>
      </c>
      <c r="I22" s="21" t="n">
        <v>1760</v>
      </c>
      <c r="J22" s="20"/>
      <c r="K22" s="23" t="s">
        <v>163</v>
      </c>
      <c r="L22" s="20" t="n">
        <f aca="false">VLOOKUP(K22,'Job Costing'!$A$5:$B$23,2,0)</f>
        <v>2400</v>
      </c>
      <c r="M22" s="20" t="str">
        <f aca="false">VLOOKUP(D22,'Data - Items'!$A$4:$I$35,9,0)</f>
        <v>Ply cover</v>
      </c>
      <c r="N22" s="34" t="n">
        <f aca="false">IF(M22="Timber",F22*VLOOKUP(D22,'Data - Items'!$A$4:$H$35,8,0),0)</f>
        <v>0</v>
      </c>
    </row>
    <row r="23" customFormat="false" ht="15" hidden="false" customHeight="false" outlineLevel="0" collapsed="false">
      <c r="A23" s="20" t="n">
        <v>11853</v>
      </c>
      <c r="B23" s="22" t="n">
        <v>45950</v>
      </c>
      <c r="C23" s="20" t="s">
        <v>163</v>
      </c>
      <c r="D23" s="20" t="s">
        <v>314</v>
      </c>
      <c r="E23" s="20" t="s">
        <v>315</v>
      </c>
      <c r="F23" s="20" t="n">
        <v>8</v>
      </c>
      <c r="G23" s="20" t="s">
        <v>303</v>
      </c>
      <c r="H23" s="21" t="n">
        <v>880</v>
      </c>
      <c r="I23" s="21" t="n">
        <v>7040</v>
      </c>
      <c r="J23" s="20"/>
      <c r="K23" s="23" t="s">
        <v>163</v>
      </c>
      <c r="L23" s="20" t="n">
        <f aca="false">VLOOKUP(K23,'Job Costing'!$A$5:$B$23,2,0)</f>
        <v>2400</v>
      </c>
      <c r="M23" s="20" t="str">
        <f aca="false">VLOOKUP(D23,'Data - Items'!$A$4:$I$35,9,0)</f>
        <v>Ratchet belt</v>
      </c>
      <c r="N23" s="34" t="n">
        <f aca="false">IF(M23="Timber",F23*VLOOKUP(D23,'Data - Items'!$A$4:$H$35,8,0),0)</f>
        <v>0</v>
      </c>
    </row>
    <row r="24" customFormat="false" ht="15" hidden="false" customHeight="false" outlineLevel="0" collapsed="false">
      <c r="A24" s="20" t="n">
        <v>11853</v>
      </c>
      <c r="B24" s="22" t="n">
        <v>45950</v>
      </c>
      <c r="C24" s="20" t="s">
        <v>163</v>
      </c>
      <c r="D24" s="20" t="s">
        <v>316</v>
      </c>
      <c r="E24" s="20" t="s">
        <v>317</v>
      </c>
      <c r="F24" s="20" t="n">
        <v>10.2</v>
      </c>
      <c r="G24" s="20" t="s">
        <v>318</v>
      </c>
      <c r="H24" s="21" t="n">
        <v>158</v>
      </c>
      <c r="I24" s="21" t="n">
        <v>1611.6</v>
      </c>
      <c r="J24" s="20"/>
      <c r="K24" s="23" t="s">
        <v>163</v>
      </c>
      <c r="L24" s="20" t="n">
        <f aca="false">VLOOKUP(K24,'Job Costing'!$A$5:$B$23,2,0)</f>
        <v>2400</v>
      </c>
      <c r="M24" s="20" t="str">
        <f aca="false">VLOOKUP(D24,'Data - Items'!$A$4:$I$35,9,0)</f>
        <v>Stretch film</v>
      </c>
      <c r="N24" s="34" t="n">
        <f aca="false">IF(M24="Timber",F24*VLOOKUP(D24,'Data - Items'!$A$4:$H$35,8,0),0)</f>
        <v>0</v>
      </c>
    </row>
    <row r="25" customFormat="false" ht="15" hidden="false" customHeight="false" outlineLevel="0" collapsed="false">
      <c r="A25" s="20" t="n">
        <v>11853</v>
      </c>
      <c r="B25" s="22" t="n">
        <v>45950</v>
      </c>
      <c r="C25" s="20" t="s">
        <v>163</v>
      </c>
      <c r="D25" s="20" t="s">
        <v>324</v>
      </c>
      <c r="E25" s="20" t="s">
        <v>217</v>
      </c>
      <c r="F25" s="20" t="n">
        <v>10</v>
      </c>
      <c r="G25" s="20" t="s">
        <v>303</v>
      </c>
      <c r="H25" s="21" t="n">
        <v>383.16</v>
      </c>
      <c r="I25" s="21" t="n">
        <v>3831.6</v>
      </c>
      <c r="J25" s="20"/>
      <c r="K25" s="23" t="s">
        <v>163</v>
      </c>
      <c r="L25" s="20" t="n">
        <f aca="false">VLOOKUP(K25,'Job Costing'!$A$5:$B$23,2,0)</f>
        <v>2400</v>
      </c>
      <c r="M25" s="20" t="str">
        <f aca="false">VLOOKUP(D25,'Data - Items'!$A$4:$I$35,9,0)</f>
        <v>Timber</v>
      </c>
      <c r="N25" s="34" t="n">
        <f aca="false">IF(M25="Timber",F25*VLOOKUP(D25,'Data - Items'!$A$4:$H$35,8,0),0)</f>
        <v>5.47305</v>
      </c>
    </row>
    <row r="26" customFormat="false" ht="15" hidden="false" customHeight="false" outlineLevel="0" collapsed="false">
      <c r="A26" s="20" t="n">
        <v>11853</v>
      </c>
      <c r="B26" s="22" t="n">
        <v>45950</v>
      </c>
      <c r="C26" s="20" t="s">
        <v>163</v>
      </c>
      <c r="D26" s="20" t="s">
        <v>320</v>
      </c>
      <c r="E26" s="20" t="s">
        <v>204</v>
      </c>
      <c r="F26" s="20" t="n">
        <v>14</v>
      </c>
      <c r="G26" s="20" t="s">
        <v>303</v>
      </c>
      <c r="H26" s="21" t="n">
        <v>18.54</v>
      </c>
      <c r="I26" s="21" t="n">
        <v>259.56</v>
      </c>
      <c r="J26" s="20"/>
      <c r="K26" s="23" t="s">
        <v>163</v>
      </c>
      <c r="L26" s="20" t="n">
        <f aca="false">VLOOKUP(K26,'Job Costing'!$A$5:$B$23,2,0)</f>
        <v>2400</v>
      </c>
      <c r="M26" s="20" t="str">
        <f aca="false">VLOOKUP(D26,'Data - Items'!$A$4:$I$35,9,0)</f>
        <v>Timber</v>
      </c>
      <c r="N26" s="34" t="n">
        <f aca="false">IF(M26="Timber",F26*VLOOKUP(D26,'Data - Items'!$A$4:$H$35,8,0),0)</f>
        <v>0.370755</v>
      </c>
    </row>
    <row r="27" customFormat="false" ht="15" hidden="false" customHeight="false" outlineLevel="0" collapsed="false">
      <c r="A27" s="20" t="n">
        <v>11853</v>
      </c>
      <c r="B27" s="22" t="n">
        <v>45950</v>
      </c>
      <c r="C27" s="20" t="s">
        <v>163</v>
      </c>
      <c r="D27" s="20" t="s">
        <v>325</v>
      </c>
      <c r="E27" s="20" t="s">
        <v>218</v>
      </c>
      <c r="F27" s="20" t="n">
        <v>9</v>
      </c>
      <c r="G27" s="20" t="s">
        <v>303</v>
      </c>
      <c r="H27" s="21" t="n">
        <v>431.06</v>
      </c>
      <c r="I27" s="21" t="n">
        <v>3879.54</v>
      </c>
      <c r="J27" s="20"/>
      <c r="K27" s="23" t="s">
        <v>163</v>
      </c>
      <c r="L27" s="20" t="n">
        <f aca="false">VLOOKUP(K27,'Job Costing'!$A$5:$B$23,2,0)</f>
        <v>2400</v>
      </c>
      <c r="M27" s="20" t="str">
        <f aca="false">VLOOKUP(D27,'Data - Items'!$A$4:$I$35,9,0)</f>
        <v>Timber</v>
      </c>
      <c r="N27" s="34" t="n">
        <f aca="false">IF(M27="Timber",F27*VLOOKUP(D27,'Data - Items'!$A$4:$H$35,8,0),0)</f>
        <v>5.541463125</v>
      </c>
    </row>
    <row r="28" customFormat="false" ht="15" hidden="false" customHeight="false" outlineLevel="0" collapsed="false">
      <c r="A28" s="20" t="n">
        <v>11853</v>
      </c>
      <c r="B28" s="22" t="n">
        <v>45950</v>
      </c>
      <c r="C28" s="20" t="s">
        <v>163</v>
      </c>
      <c r="D28" s="20" t="s">
        <v>326</v>
      </c>
      <c r="E28" s="20" t="s">
        <v>219</v>
      </c>
      <c r="F28" s="20" t="n">
        <v>9</v>
      </c>
      <c r="G28" s="20" t="s">
        <v>303</v>
      </c>
      <c r="H28" s="21" t="n">
        <v>987.27</v>
      </c>
      <c r="I28" s="21" t="n">
        <v>8885.43</v>
      </c>
      <c r="J28" s="20"/>
      <c r="K28" s="23" t="s">
        <v>163</v>
      </c>
      <c r="L28" s="20" t="n">
        <f aca="false">VLOOKUP(K28,'Job Costing'!$A$5:$B$23,2,0)</f>
        <v>2400</v>
      </c>
      <c r="M28" s="20" t="str">
        <f aca="false">VLOOKUP(D28,'Data - Items'!$A$4:$I$35,9,0)</f>
        <v>Timber</v>
      </c>
      <c r="N28" s="34" t="n">
        <f aca="false">IF(M28="Timber",F28*VLOOKUP(D28,'Data - Items'!$A$4:$H$35,8,0),0)</f>
        <v>12.691738125</v>
      </c>
    </row>
    <row r="29" customFormat="false" ht="15" hidden="false" customHeight="false" outlineLevel="0" collapsed="false">
      <c r="A29" s="20" t="n">
        <v>11853</v>
      </c>
      <c r="B29" s="22" t="n">
        <v>45950</v>
      </c>
      <c r="C29" s="20" t="s">
        <v>163</v>
      </c>
      <c r="D29" s="20" t="s">
        <v>323</v>
      </c>
      <c r="E29" s="20" t="s">
        <v>220</v>
      </c>
      <c r="F29" s="20" t="n">
        <v>9</v>
      </c>
      <c r="G29" s="20" t="s">
        <v>303</v>
      </c>
      <c r="H29" s="21" t="n">
        <v>395.52</v>
      </c>
      <c r="I29" s="21" t="n">
        <v>3559.68</v>
      </c>
      <c r="J29" s="20"/>
      <c r="K29" s="23" t="s">
        <v>163</v>
      </c>
      <c r="L29" s="20" t="n">
        <f aca="false">VLOOKUP(K29,'Job Costing'!$A$5:$B$23,2,0)</f>
        <v>2400</v>
      </c>
      <c r="M29" s="20" t="str">
        <f aca="false">VLOOKUP(D29,'Data - Items'!$A$4:$I$35,9,0)</f>
        <v>Timber</v>
      </c>
      <c r="N29" s="34" t="n">
        <f aca="false">IF(M29="Timber",F29*VLOOKUP(D29,'Data - Items'!$A$4:$H$35,8,0),0)</f>
        <v>5.08464</v>
      </c>
    </row>
    <row r="30" customFormat="false" ht="15" hidden="false" customHeight="false" outlineLevel="0" collapsed="false">
      <c r="A30" s="20" t="n">
        <v>11861</v>
      </c>
      <c r="B30" s="22" t="n">
        <v>45966</v>
      </c>
      <c r="C30" s="20" t="s">
        <v>164</v>
      </c>
      <c r="D30" s="20" t="s">
        <v>298</v>
      </c>
      <c r="E30" s="20" t="s">
        <v>299</v>
      </c>
      <c r="F30" s="20" t="n">
        <v>3</v>
      </c>
      <c r="G30" s="20" t="s">
        <v>300</v>
      </c>
      <c r="H30" s="21" t="n">
        <v>640</v>
      </c>
      <c r="I30" s="21" t="n">
        <v>1920</v>
      </c>
      <c r="J30" s="20"/>
      <c r="K30" s="23" t="s">
        <v>164</v>
      </c>
      <c r="L30" s="20" t="n">
        <f aca="false">VLOOKUP(K30,'Job Costing'!$A$5:$B$23,2,0)</f>
        <v>1800</v>
      </c>
      <c r="M30" s="20" t="str">
        <f aca="false">VLOOKUP(D30,'Data - Items'!$A$4:$I$35,9,0)</f>
        <v>Bubble wrap</v>
      </c>
      <c r="N30" s="34" t="n">
        <f aca="false">IF(M30="Timber",F30*VLOOKUP(D30,'Data - Items'!$A$4:$H$35,8,0),0)</f>
        <v>0</v>
      </c>
    </row>
    <row r="31" customFormat="false" ht="15" hidden="false" customHeight="false" outlineLevel="0" collapsed="false">
      <c r="A31" s="20" t="n">
        <v>11861</v>
      </c>
      <c r="B31" s="22" t="n">
        <v>45966</v>
      </c>
      <c r="C31" s="20" t="s">
        <v>164</v>
      </c>
      <c r="D31" s="20" t="s">
        <v>301</v>
      </c>
      <c r="E31" s="20" t="s">
        <v>302</v>
      </c>
      <c r="F31" s="20" t="n">
        <v>4</v>
      </c>
      <c r="G31" s="20" t="s">
        <v>303</v>
      </c>
      <c r="H31" s="21" t="n">
        <v>78</v>
      </c>
      <c r="I31" s="21" t="n">
        <v>312</v>
      </c>
      <c r="J31" s="20"/>
      <c r="K31" s="23" t="s">
        <v>164</v>
      </c>
      <c r="L31" s="20" t="n">
        <f aca="false">VLOOKUP(K31,'Job Costing'!$A$5:$B$23,2,0)</f>
        <v>1800</v>
      </c>
      <c r="M31" s="20" t="str">
        <f aca="false">VLOOKUP(D31,'Data - Items'!$A$4:$I$35,9,0)</f>
        <v>Gum tape</v>
      </c>
      <c r="N31" s="34" t="n">
        <f aca="false">IF(M31="Timber",F31*VLOOKUP(D31,'Data - Items'!$A$4:$H$35,8,0),0)</f>
        <v>0</v>
      </c>
    </row>
    <row r="32" customFormat="false" ht="15" hidden="false" customHeight="false" outlineLevel="0" collapsed="false">
      <c r="A32" s="20" t="n">
        <v>11861</v>
      </c>
      <c r="B32" s="22" t="n">
        <v>45966</v>
      </c>
      <c r="C32" s="20" t="s">
        <v>164</v>
      </c>
      <c r="D32" s="20" t="s">
        <v>307</v>
      </c>
      <c r="E32" s="20" t="s">
        <v>308</v>
      </c>
      <c r="F32" s="20" t="n">
        <v>2</v>
      </c>
      <c r="G32" s="20" t="s">
        <v>300</v>
      </c>
      <c r="H32" s="21" t="n">
        <v>2100</v>
      </c>
      <c r="I32" s="21" t="n">
        <v>4200</v>
      </c>
      <c r="J32" s="20"/>
      <c r="K32" s="23" t="s">
        <v>164</v>
      </c>
      <c r="L32" s="20" t="n">
        <f aca="false">VLOOKUP(K32,'Job Costing'!$A$5:$B$23,2,0)</f>
        <v>1800</v>
      </c>
      <c r="M32" s="20" t="str">
        <f aca="false">VLOOKUP(D32,'Data - Items'!$A$4:$I$35,9,0)</f>
        <v>Foam</v>
      </c>
      <c r="N32" s="34" t="n">
        <f aca="false">IF(M32="Timber",F32*VLOOKUP(D32,'Data - Items'!$A$4:$H$35,8,0),0)</f>
        <v>0</v>
      </c>
    </row>
    <row r="33" customFormat="false" ht="15" hidden="false" customHeight="false" outlineLevel="0" collapsed="false">
      <c r="A33" s="20" t="n">
        <v>11861</v>
      </c>
      <c r="B33" s="22" t="n">
        <v>45966</v>
      </c>
      <c r="C33" s="20" t="s">
        <v>164</v>
      </c>
      <c r="D33" s="20" t="s">
        <v>309</v>
      </c>
      <c r="E33" s="20" t="s">
        <v>310</v>
      </c>
      <c r="F33" s="20" t="n">
        <v>5</v>
      </c>
      <c r="G33" s="20" t="s">
        <v>311</v>
      </c>
      <c r="H33" s="21" t="n">
        <v>90</v>
      </c>
      <c r="I33" s="21" t="n">
        <v>450</v>
      </c>
      <c r="J33" s="20"/>
      <c r="K33" s="23" t="s">
        <v>164</v>
      </c>
      <c r="L33" s="20" t="n">
        <f aca="false">VLOOKUP(K33,'Job Costing'!$A$5:$B$23,2,0)</f>
        <v>1800</v>
      </c>
      <c r="M33" s="20" t="str">
        <f aca="false">VLOOKUP(D33,'Data - Items'!$A$4:$I$35,9,0)</f>
        <v>Nails</v>
      </c>
      <c r="N33" s="34" t="n">
        <f aca="false">IF(M33="Timber",F33*VLOOKUP(D33,'Data - Items'!$A$4:$H$35,8,0),0)</f>
        <v>0</v>
      </c>
    </row>
    <row r="34" customFormat="false" ht="15" hidden="false" customHeight="false" outlineLevel="0" collapsed="false">
      <c r="A34" s="20" t="n">
        <v>11861</v>
      </c>
      <c r="B34" s="22" t="n">
        <v>45966</v>
      </c>
      <c r="C34" s="20" t="s">
        <v>164</v>
      </c>
      <c r="D34" s="20" t="s">
        <v>312</v>
      </c>
      <c r="E34" s="20" t="s">
        <v>313</v>
      </c>
      <c r="F34" s="20" t="n">
        <v>18</v>
      </c>
      <c r="G34" s="20" t="s">
        <v>303</v>
      </c>
      <c r="H34" s="21" t="n">
        <v>160</v>
      </c>
      <c r="I34" s="21" t="n">
        <v>2880</v>
      </c>
      <c r="J34" s="20"/>
      <c r="K34" s="23" t="s">
        <v>164</v>
      </c>
      <c r="L34" s="20" t="n">
        <f aca="false">VLOOKUP(K34,'Job Costing'!$A$5:$B$23,2,0)</f>
        <v>1800</v>
      </c>
      <c r="M34" s="20" t="str">
        <f aca="false">VLOOKUP(D34,'Data - Items'!$A$4:$I$35,9,0)</f>
        <v>Ply cover</v>
      </c>
      <c r="N34" s="34" t="n">
        <f aca="false">IF(M34="Timber",F34*VLOOKUP(D34,'Data - Items'!$A$4:$H$35,8,0),0)</f>
        <v>0</v>
      </c>
    </row>
    <row r="35" customFormat="false" ht="15" hidden="false" customHeight="false" outlineLevel="0" collapsed="false">
      <c r="A35" s="20" t="n">
        <v>11861</v>
      </c>
      <c r="B35" s="22" t="n">
        <v>45966</v>
      </c>
      <c r="C35" s="20" t="s">
        <v>164</v>
      </c>
      <c r="D35" s="20" t="s">
        <v>314</v>
      </c>
      <c r="E35" s="20" t="s">
        <v>315</v>
      </c>
      <c r="F35" s="20" t="n">
        <v>9</v>
      </c>
      <c r="G35" s="20" t="s">
        <v>303</v>
      </c>
      <c r="H35" s="21" t="n">
        <v>900</v>
      </c>
      <c r="I35" s="21" t="n">
        <v>8100</v>
      </c>
      <c r="J35" s="20"/>
      <c r="K35" s="23" t="s">
        <v>164</v>
      </c>
      <c r="L35" s="20" t="n">
        <f aca="false">VLOOKUP(K35,'Job Costing'!$A$5:$B$23,2,0)</f>
        <v>1800</v>
      </c>
      <c r="M35" s="20" t="str">
        <f aca="false">VLOOKUP(D35,'Data - Items'!$A$4:$I$35,9,0)</f>
        <v>Ratchet belt</v>
      </c>
      <c r="N35" s="34" t="n">
        <f aca="false">IF(M35="Timber",F35*VLOOKUP(D35,'Data - Items'!$A$4:$H$35,8,0),0)</f>
        <v>0</v>
      </c>
    </row>
    <row r="36" customFormat="false" ht="15" hidden="false" customHeight="false" outlineLevel="0" collapsed="false">
      <c r="A36" s="20" t="n">
        <v>11861</v>
      </c>
      <c r="B36" s="22" t="n">
        <v>45966</v>
      </c>
      <c r="C36" s="20" t="s">
        <v>164</v>
      </c>
      <c r="D36" s="20" t="s">
        <v>316</v>
      </c>
      <c r="E36" s="20" t="s">
        <v>317</v>
      </c>
      <c r="F36" s="20" t="n">
        <v>14.5</v>
      </c>
      <c r="G36" s="20" t="s">
        <v>318</v>
      </c>
      <c r="H36" s="21" t="n">
        <v>158</v>
      </c>
      <c r="I36" s="21" t="n">
        <v>2291</v>
      </c>
      <c r="J36" s="20"/>
      <c r="K36" s="23" t="s">
        <v>164</v>
      </c>
      <c r="L36" s="20" t="n">
        <f aca="false">VLOOKUP(K36,'Job Costing'!$A$5:$B$23,2,0)</f>
        <v>1800</v>
      </c>
      <c r="M36" s="20" t="str">
        <f aca="false">VLOOKUP(D36,'Data - Items'!$A$4:$I$35,9,0)</f>
        <v>Stretch film</v>
      </c>
      <c r="N36" s="34" t="n">
        <f aca="false">IF(M36="Timber",F36*VLOOKUP(D36,'Data - Items'!$A$4:$H$35,8,0),0)</f>
        <v>0</v>
      </c>
    </row>
    <row r="37" customFormat="false" ht="15" hidden="false" customHeight="false" outlineLevel="0" collapsed="false">
      <c r="A37" s="20" t="n">
        <v>11861</v>
      </c>
      <c r="B37" s="22" t="n">
        <v>45966</v>
      </c>
      <c r="C37" s="20" t="s">
        <v>164</v>
      </c>
      <c r="D37" s="20" t="s">
        <v>327</v>
      </c>
      <c r="E37" s="20" t="s">
        <v>211</v>
      </c>
      <c r="F37" s="20" t="n">
        <v>15</v>
      </c>
      <c r="G37" s="20" t="s">
        <v>303</v>
      </c>
      <c r="H37" s="21" t="n">
        <v>284.28</v>
      </c>
      <c r="I37" s="21" t="n">
        <v>4264.2</v>
      </c>
      <c r="J37" s="20"/>
      <c r="K37" s="23" t="s">
        <v>164</v>
      </c>
      <c r="L37" s="20" t="n">
        <f aca="false">VLOOKUP(K37,'Job Costing'!$A$5:$B$23,2,0)</f>
        <v>1800</v>
      </c>
      <c r="M37" s="20" t="str">
        <f aca="false">VLOOKUP(D37,'Data - Items'!$A$4:$I$35,9,0)</f>
        <v>Timber</v>
      </c>
      <c r="N37" s="34" t="n">
        <f aca="false">IF(M37="Timber",F37*VLOOKUP(D37,'Data - Items'!$A$4:$H$35,8,0),0)</f>
        <v>6.090975</v>
      </c>
    </row>
    <row r="38" customFormat="false" ht="15" hidden="false" customHeight="false" outlineLevel="0" collapsed="false">
      <c r="A38" s="20" t="n">
        <v>11861</v>
      </c>
      <c r="B38" s="22" t="n">
        <v>45966</v>
      </c>
      <c r="C38" s="20" t="s">
        <v>164</v>
      </c>
      <c r="D38" s="20" t="s">
        <v>320</v>
      </c>
      <c r="E38" s="20" t="s">
        <v>204</v>
      </c>
      <c r="F38" s="20" t="n">
        <v>14</v>
      </c>
      <c r="G38" s="20" t="s">
        <v>303</v>
      </c>
      <c r="H38" s="21" t="n">
        <v>18.54</v>
      </c>
      <c r="I38" s="21" t="n">
        <v>259.56</v>
      </c>
      <c r="J38" s="20"/>
      <c r="K38" s="23" t="s">
        <v>164</v>
      </c>
      <c r="L38" s="20" t="n">
        <f aca="false">VLOOKUP(K38,'Job Costing'!$A$5:$B$23,2,0)</f>
        <v>1800</v>
      </c>
      <c r="M38" s="20" t="str">
        <f aca="false">VLOOKUP(D38,'Data - Items'!$A$4:$I$35,9,0)</f>
        <v>Timber</v>
      </c>
      <c r="N38" s="34" t="n">
        <f aca="false">IF(M38="Timber",F38*VLOOKUP(D38,'Data - Items'!$A$4:$H$35,8,0),0)</f>
        <v>0.370755</v>
      </c>
    </row>
    <row r="39" customFormat="false" ht="15" hidden="false" customHeight="false" outlineLevel="0" collapsed="false">
      <c r="A39" s="20" t="n">
        <v>11861</v>
      </c>
      <c r="B39" s="22" t="n">
        <v>45966</v>
      </c>
      <c r="C39" s="20" t="s">
        <v>164</v>
      </c>
      <c r="D39" s="20" t="s">
        <v>328</v>
      </c>
      <c r="E39" s="20" t="s">
        <v>205</v>
      </c>
      <c r="F39" s="20" t="n">
        <v>17</v>
      </c>
      <c r="G39" s="20" t="s">
        <v>303</v>
      </c>
      <c r="H39" s="21" t="n">
        <v>166.86</v>
      </c>
      <c r="I39" s="21" t="n">
        <v>2836.62</v>
      </c>
      <c r="J39" s="20"/>
      <c r="K39" s="23" t="s">
        <v>164</v>
      </c>
      <c r="L39" s="20" t="n">
        <f aca="false">VLOOKUP(K39,'Job Costing'!$A$5:$B$23,2,0)</f>
        <v>1800</v>
      </c>
      <c r="M39" s="20" t="str">
        <f aca="false">VLOOKUP(D39,'Data - Items'!$A$4:$I$35,9,0)</f>
        <v>Timber</v>
      </c>
      <c r="N39" s="34" t="n">
        <f aca="false">IF(M39="Timber",F39*VLOOKUP(D39,'Data - Items'!$A$4:$H$35,8,0),0)</f>
        <v>4.0518225</v>
      </c>
    </row>
    <row r="40" customFormat="false" ht="15" hidden="false" customHeight="false" outlineLevel="0" collapsed="false">
      <c r="A40" s="20" t="n">
        <v>11861</v>
      </c>
      <c r="B40" s="22" t="n">
        <v>45966</v>
      </c>
      <c r="C40" s="20" t="s">
        <v>164</v>
      </c>
      <c r="D40" s="20" t="s">
        <v>329</v>
      </c>
      <c r="E40" s="20" t="s">
        <v>212</v>
      </c>
      <c r="F40" s="20" t="n">
        <v>10</v>
      </c>
      <c r="G40" s="20" t="s">
        <v>303</v>
      </c>
      <c r="H40" s="21" t="n">
        <v>319.82</v>
      </c>
      <c r="I40" s="21" t="n">
        <v>3198.2</v>
      </c>
      <c r="J40" s="20"/>
      <c r="K40" s="23" t="s">
        <v>164</v>
      </c>
      <c r="L40" s="20" t="n">
        <f aca="false">VLOOKUP(K40,'Job Costing'!$A$5:$B$23,2,0)</f>
        <v>1800</v>
      </c>
      <c r="M40" s="20" t="str">
        <f aca="false">VLOOKUP(D40,'Data - Items'!$A$4:$I$35,9,0)</f>
        <v>Timber</v>
      </c>
      <c r="N40" s="34" t="n">
        <f aca="false">IF(M40="Timber",F40*VLOOKUP(D40,'Data - Items'!$A$4:$H$35,8,0),0)</f>
        <v>4.56823125</v>
      </c>
    </row>
    <row r="41" customFormat="false" ht="15" hidden="false" customHeight="false" outlineLevel="0" collapsed="false">
      <c r="A41" s="20" t="n">
        <v>11861</v>
      </c>
      <c r="B41" s="22" t="n">
        <v>45966</v>
      </c>
      <c r="C41" s="20" t="s">
        <v>164</v>
      </c>
      <c r="D41" s="20" t="s">
        <v>330</v>
      </c>
      <c r="E41" s="20" t="s">
        <v>213</v>
      </c>
      <c r="F41" s="20" t="n">
        <v>14</v>
      </c>
      <c r="G41" s="20" t="s">
        <v>303</v>
      </c>
      <c r="H41" s="21" t="n">
        <v>792.59</v>
      </c>
      <c r="I41" s="21" t="n">
        <v>11096.26</v>
      </c>
      <c r="J41" s="20"/>
      <c r="K41" s="23" t="s">
        <v>164</v>
      </c>
      <c r="L41" s="20" t="n">
        <f aca="false">VLOOKUP(K41,'Job Costing'!$A$5:$B$23,2,0)</f>
        <v>1800</v>
      </c>
      <c r="M41" s="20" t="str">
        <f aca="false">VLOOKUP(D41,'Data - Items'!$A$4:$I$35,9,0)</f>
        <v>Timber</v>
      </c>
      <c r="N41" s="34" t="n">
        <f aca="false">IF(M41="Timber",F41*VLOOKUP(D41,'Data - Items'!$A$4:$H$35,8,0),0)</f>
        <v>15.84977625</v>
      </c>
    </row>
    <row r="42" customFormat="false" ht="15" hidden="false" customHeight="false" outlineLevel="0" collapsed="false">
      <c r="A42" s="20" t="n">
        <v>11883</v>
      </c>
      <c r="B42" s="22" t="n">
        <v>45978</v>
      </c>
      <c r="C42" s="20" t="s">
        <v>165</v>
      </c>
      <c r="D42" s="20" t="s">
        <v>298</v>
      </c>
      <c r="E42" s="20" t="s">
        <v>299</v>
      </c>
      <c r="F42" s="20" t="n">
        <v>3</v>
      </c>
      <c r="G42" s="20" t="s">
        <v>300</v>
      </c>
      <c r="H42" s="21" t="n">
        <v>640</v>
      </c>
      <c r="I42" s="21" t="n">
        <v>1920</v>
      </c>
      <c r="J42" s="20"/>
      <c r="K42" s="23" t="s">
        <v>165</v>
      </c>
      <c r="L42" s="20" t="n">
        <f aca="false">VLOOKUP(K42,'Job Costing'!$A$5:$B$23,2,0)</f>
        <v>2600</v>
      </c>
      <c r="M42" s="20" t="str">
        <f aca="false">VLOOKUP(D42,'Data - Items'!$A$4:$I$35,9,0)</f>
        <v>Bubble wrap</v>
      </c>
      <c r="N42" s="34" t="n">
        <f aca="false">IF(M42="Timber",F42*VLOOKUP(D42,'Data - Items'!$A$4:$H$35,8,0),0)</f>
        <v>0</v>
      </c>
    </row>
    <row r="43" customFormat="false" ht="15" hidden="false" customHeight="false" outlineLevel="0" collapsed="false">
      <c r="A43" s="20" t="n">
        <v>11883</v>
      </c>
      <c r="B43" s="22" t="n">
        <v>45978</v>
      </c>
      <c r="C43" s="20" t="s">
        <v>165</v>
      </c>
      <c r="D43" s="20" t="s">
        <v>301</v>
      </c>
      <c r="E43" s="20" t="s">
        <v>302</v>
      </c>
      <c r="F43" s="20" t="n">
        <v>3</v>
      </c>
      <c r="G43" s="20" t="s">
        <v>303</v>
      </c>
      <c r="H43" s="21" t="n">
        <v>78</v>
      </c>
      <c r="I43" s="21" t="n">
        <v>234</v>
      </c>
      <c r="J43" s="20"/>
      <c r="K43" s="23" t="s">
        <v>165</v>
      </c>
      <c r="L43" s="20" t="n">
        <f aca="false">VLOOKUP(K43,'Job Costing'!$A$5:$B$23,2,0)</f>
        <v>2600</v>
      </c>
      <c r="M43" s="20" t="str">
        <f aca="false">VLOOKUP(D43,'Data - Items'!$A$4:$I$35,9,0)</f>
        <v>Gum tape</v>
      </c>
      <c r="N43" s="34" t="n">
        <f aca="false">IF(M43="Timber",F43*VLOOKUP(D43,'Data - Items'!$A$4:$H$35,8,0),0)</f>
        <v>0</v>
      </c>
    </row>
    <row r="44" customFormat="false" ht="15" hidden="false" customHeight="false" outlineLevel="0" collapsed="false">
      <c r="A44" s="20" t="n">
        <v>11883</v>
      </c>
      <c r="B44" s="22" t="n">
        <v>45978</v>
      </c>
      <c r="C44" s="20" t="s">
        <v>165</v>
      </c>
      <c r="D44" s="20" t="s">
        <v>304</v>
      </c>
      <c r="E44" s="20" t="s">
        <v>305</v>
      </c>
      <c r="F44" s="20" t="n">
        <v>1600</v>
      </c>
      <c r="G44" s="20" t="s">
        <v>306</v>
      </c>
      <c r="H44" s="21" t="n">
        <v>5</v>
      </c>
      <c r="I44" s="21" t="n">
        <v>8000</v>
      </c>
      <c r="J44" s="20"/>
      <c r="K44" s="23" t="s">
        <v>165</v>
      </c>
      <c r="L44" s="20" t="n">
        <f aca="false">VLOOKUP(K44,'Job Costing'!$A$5:$B$23,2,0)</f>
        <v>2600</v>
      </c>
      <c r="M44" s="20" t="str">
        <f aca="false">VLOOKUP(D44,'Data - Items'!$A$4:$I$35,9,0)</f>
        <v>Tarpaulin</v>
      </c>
      <c r="N44" s="34" t="n">
        <f aca="false">IF(M44="Timber",F44*VLOOKUP(D44,'Data - Items'!$A$4:$H$35,8,0),0)</f>
        <v>0</v>
      </c>
    </row>
    <row r="45" customFormat="false" ht="15" hidden="false" customHeight="false" outlineLevel="0" collapsed="false">
      <c r="A45" s="20" t="n">
        <v>11883</v>
      </c>
      <c r="B45" s="22" t="n">
        <v>45978</v>
      </c>
      <c r="C45" s="20" t="s">
        <v>165</v>
      </c>
      <c r="D45" s="20" t="s">
        <v>307</v>
      </c>
      <c r="E45" s="20" t="s">
        <v>308</v>
      </c>
      <c r="F45" s="20" t="n">
        <v>2</v>
      </c>
      <c r="G45" s="20" t="s">
        <v>300</v>
      </c>
      <c r="H45" s="21" t="n">
        <v>2100</v>
      </c>
      <c r="I45" s="21" t="n">
        <v>4200</v>
      </c>
      <c r="J45" s="20"/>
      <c r="K45" s="23" t="s">
        <v>165</v>
      </c>
      <c r="L45" s="20" t="n">
        <f aca="false">VLOOKUP(K45,'Job Costing'!$A$5:$B$23,2,0)</f>
        <v>2600</v>
      </c>
      <c r="M45" s="20" t="str">
        <f aca="false">VLOOKUP(D45,'Data - Items'!$A$4:$I$35,9,0)</f>
        <v>Foam</v>
      </c>
      <c r="N45" s="34" t="n">
        <f aca="false">IF(M45="Timber",F45*VLOOKUP(D45,'Data - Items'!$A$4:$H$35,8,0),0)</f>
        <v>0</v>
      </c>
    </row>
    <row r="46" customFormat="false" ht="15" hidden="false" customHeight="false" outlineLevel="0" collapsed="false">
      <c r="A46" s="20" t="n">
        <v>11883</v>
      </c>
      <c r="B46" s="22" t="n">
        <v>45978</v>
      </c>
      <c r="C46" s="20" t="s">
        <v>165</v>
      </c>
      <c r="D46" s="20" t="s">
        <v>309</v>
      </c>
      <c r="E46" s="20" t="s">
        <v>310</v>
      </c>
      <c r="F46" s="20" t="n">
        <v>5</v>
      </c>
      <c r="G46" s="20" t="s">
        <v>311</v>
      </c>
      <c r="H46" s="21" t="n">
        <v>90</v>
      </c>
      <c r="I46" s="21" t="n">
        <v>450</v>
      </c>
      <c r="J46" s="20"/>
      <c r="K46" s="23" t="s">
        <v>165</v>
      </c>
      <c r="L46" s="20" t="n">
        <f aca="false">VLOOKUP(K46,'Job Costing'!$A$5:$B$23,2,0)</f>
        <v>2600</v>
      </c>
      <c r="M46" s="20" t="str">
        <f aca="false">VLOOKUP(D46,'Data - Items'!$A$4:$I$35,9,0)</f>
        <v>Nails</v>
      </c>
      <c r="N46" s="34" t="n">
        <f aca="false">IF(M46="Timber",F46*VLOOKUP(D46,'Data - Items'!$A$4:$H$35,8,0),0)</f>
        <v>0</v>
      </c>
    </row>
    <row r="47" customFormat="false" ht="15" hidden="false" customHeight="false" outlineLevel="0" collapsed="false">
      <c r="A47" s="20" t="n">
        <v>11883</v>
      </c>
      <c r="B47" s="22" t="n">
        <v>45978</v>
      </c>
      <c r="C47" s="20" t="s">
        <v>165</v>
      </c>
      <c r="D47" s="20" t="s">
        <v>312</v>
      </c>
      <c r="E47" s="20" t="s">
        <v>313</v>
      </c>
      <c r="F47" s="20" t="n">
        <v>13</v>
      </c>
      <c r="G47" s="20" t="s">
        <v>303</v>
      </c>
      <c r="H47" s="21" t="n">
        <v>160</v>
      </c>
      <c r="I47" s="21" t="n">
        <v>2080</v>
      </c>
      <c r="J47" s="20"/>
      <c r="K47" s="23" t="s">
        <v>165</v>
      </c>
      <c r="L47" s="20" t="n">
        <f aca="false">VLOOKUP(K47,'Job Costing'!$A$5:$B$23,2,0)</f>
        <v>2600</v>
      </c>
      <c r="M47" s="20" t="str">
        <f aca="false">VLOOKUP(D47,'Data - Items'!$A$4:$I$35,9,0)</f>
        <v>Ply cover</v>
      </c>
      <c r="N47" s="34" t="n">
        <f aca="false">IF(M47="Timber",F47*VLOOKUP(D47,'Data - Items'!$A$4:$H$35,8,0),0)</f>
        <v>0</v>
      </c>
    </row>
    <row r="48" customFormat="false" ht="15" hidden="false" customHeight="false" outlineLevel="0" collapsed="false">
      <c r="A48" s="20" t="n">
        <v>11883</v>
      </c>
      <c r="B48" s="22" t="n">
        <v>45978</v>
      </c>
      <c r="C48" s="20" t="s">
        <v>165</v>
      </c>
      <c r="D48" s="20" t="s">
        <v>314</v>
      </c>
      <c r="E48" s="20" t="s">
        <v>315</v>
      </c>
      <c r="F48" s="20" t="n">
        <v>7</v>
      </c>
      <c r="G48" s="20" t="s">
        <v>303</v>
      </c>
      <c r="H48" s="21" t="n">
        <v>900</v>
      </c>
      <c r="I48" s="21" t="n">
        <v>6300</v>
      </c>
      <c r="J48" s="20"/>
      <c r="K48" s="23" t="s">
        <v>165</v>
      </c>
      <c r="L48" s="20" t="n">
        <f aca="false">VLOOKUP(K48,'Job Costing'!$A$5:$B$23,2,0)</f>
        <v>2600</v>
      </c>
      <c r="M48" s="20" t="str">
        <f aca="false">VLOOKUP(D48,'Data - Items'!$A$4:$I$35,9,0)</f>
        <v>Ratchet belt</v>
      </c>
      <c r="N48" s="34" t="n">
        <f aca="false">IF(M48="Timber",F48*VLOOKUP(D48,'Data - Items'!$A$4:$H$35,8,0),0)</f>
        <v>0</v>
      </c>
    </row>
    <row r="49" customFormat="false" ht="15" hidden="false" customHeight="false" outlineLevel="0" collapsed="false">
      <c r="A49" s="20" t="n">
        <v>11883</v>
      </c>
      <c r="B49" s="22" t="n">
        <v>45978</v>
      </c>
      <c r="C49" s="20" t="s">
        <v>165</v>
      </c>
      <c r="D49" s="20" t="s">
        <v>316</v>
      </c>
      <c r="E49" s="20" t="s">
        <v>317</v>
      </c>
      <c r="F49" s="20" t="n">
        <v>11.1</v>
      </c>
      <c r="G49" s="20" t="s">
        <v>318</v>
      </c>
      <c r="H49" s="21" t="n">
        <v>158</v>
      </c>
      <c r="I49" s="21" t="n">
        <v>1753.8</v>
      </c>
      <c r="J49" s="20"/>
      <c r="K49" s="23" t="s">
        <v>165</v>
      </c>
      <c r="L49" s="20" t="n">
        <f aca="false">VLOOKUP(K49,'Job Costing'!$A$5:$B$23,2,0)</f>
        <v>2600</v>
      </c>
      <c r="M49" s="20" t="str">
        <f aca="false">VLOOKUP(D49,'Data - Items'!$A$4:$I$35,9,0)</f>
        <v>Stretch film</v>
      </c>
      <c r="N49" s="34" t="n">
        <f aca="false">IF(M49="Timber",F49*VLOOKUP(D49,'Data - Items'!$A$4:$H$35,8,0),0)</f>
        <v>0</v>
      </c>
    </row>
    <row r="50" customFormat="false" ht="15" hidden="false" customHeight="false" outlineLevel="0" collapsed="false">
      <c r="A50" s="20" t="n">
        <v>11883</v>
      </c>
      <c r="B50" s="22" t="n">
        <v>45978</v>
      </c>
      <c r="C50" s="20" t="s">
        <v>165</v>
      </c>
      <c r="D50" s="20" t="s">
        <v>319</v>
      </c>
      <c r="E50" s="20" t="s">
        <v>221</v>
      </c>
      <c r="F50" s="20" t="n">
        <v>15</v>
      </c>
      <c r="G50" s="20" t="s">
        <v>303</v>
      </c>
      <c r="H50" s="21" t="n">
        <v>420.24</v>
      </c>
      <c r="I50" s="21" t="n">
        <v>6303.6</v>
      </c>
      <c r="J50" s="20"/>
      <c r="K50" s="23" t="s">
        <v>165</v>
      </c>
      <c r="L50" s="20" t="n">
        <f aca="false">VLOOKUP(K50,'Job Costing'!$A$5:$B$23,2,0)</f>
        <v>2600</v>
      </c>
      <c r="M50" s="20" t="str">
        <f aca="false">VLOOKUP(D50,'Data - Items'!$A$4:$I$35,9,0)</f>
        <v>Timber</v>
      </c>
      <c r="N50" s="34" t="n">
        <f aca="false">IF(M50="Timber",F50*VLOOKUP(D50,'Data - Items'!$A$4:$H$35,8,0),0)</f>
        <v>9.00405</v>
      </c>
    </row>
    <row r="51" customFormat="false" ht="15" hidden="false" customHeight="false" outlineLevel="0" collapsed="false">
      <c r="A51" s="20" t="n">
        <v>11883</v>
      </c>
      <c r="B51" s="22" t="n">
        <v>45978</v>
      </c>
      <c r="C51" s="20" t="s">
        <v>165</v>
      </c>
      <c r="D51" s="20" t="s">
        <v>320</v>
      </c>
      <c r="E51" s="20" t="s">
        <v>204</v>
      </c>
      <c r="F51" s="20" t="n">
        <v>11</v>
      </c>
      <c r="G51" s="20" t="s">
        <v>303</v>
      </c>
      <c r="H51" s="21" t="n">
        <v>18.54</v>
      </c>
      <c r="I51" s="21" t="n">
        <v>203.94</v>
      </c>
      <c r="J51" s="20"/>
      <c r="K51" s="23" t="s">
        <v>165</v>
      </c>
      <c r="L51" s="20" t="n">
        <f aca="false">VLOOKUP(K51,'Job Costing'!$A$5:$B$23,2,0)</f>
        <v>2600</v>
      </c>
      <c r="M51" s="20" t="str">
        <f aca="false">VLOOKUP(D51,'Data - Items'!$A$4:$I$35,9,0)</f>
        <v>Timber</v>
      </c>
      <c r="N51" s="34" t="n">
        <f aca="false">IF(M51="Timber",F51*VLOOKUP(D51,'Data - Items'!$A$4:$H$35,8,0),0)</f>
        <v>0.2913075</v>
      </c>
    </row>
    <row r="52" customFormat="false" ht="15" hidden="false" customHeight="false" outlineLevel="0" collapsed="false">
      <c r="A52" s="20" t="n">
        <v>11883</v>
      </c>
      <c r="B52" s="22" t="n">
        <v>45978</v>
      </c>
      <c r="C52" s="20" t="s">
        <v>165</v>
      </c>
      <c r="D52" s="20" t="s">
        <v>321</v>
      </c>
      <c r="E52" s="20" t="s">
        <v>222</v>
      </c>
      <c r="F52" s="20" t="n">
        <v>8</v>
      </c>
      <c r="G52" s="20" t="s">
        <v>303</v>
      </c>
      <c r="H52" s="21" t="n">
        <v>472.78</v>
      </c>
      <c r="I52" s="21" t="n">
        <v>3782.24</v>
      </c>
      <c r="J52" s="20"/>
      <c r="K52" s="23" t="s">
        <v>165</v>
      </c>
      <c r="L52" s="20" t="n">
        <f aca="false">VLOOKUP(K52,'Job Costing'!$A$5:$B$23,2,0)</f>
        <v>2600</v>
      </c>
      <c r="M52" s="20" t="str">
        <f aca="false">VLOOKUP(D52,'Data - Items'!$A$4:$I$35,9,0)</f>
        <v>Timber</v>
      </c>
      <c r="N52" s="34" t="n">
        <f aca="false">IF(M52="Timber",F52*VLOOKUP(D52,'Data - Items'!$A$4:$H$35,8,0),0)</f>
        <v>5.40243</v>
      </c>
    </row>
    <row r="53" customFormat="false" ht="15" hidden="false" customHeight="false" outlineLevel="0" collapsed="false">
      <c r="A53" s="20" t="n">
        <v>11883</v>
      </c>
      <c r="B53" s="22" t="n">
        <v>45978</v>
      </c>
      <c r="C53" s="20" t="s">
        <v>165</v>
      </c>
      <c r="D53" s="20" t="s">
        <v>322</v>
      </c>
      <c r="E53" s="20" t="s">
        <v>223</v>
      </c>
      <c r="F53" s="20" t="n">
        <v>7</v>
      </c>
      <c r="G53" s="20" t="s">
        <v>303</v>
      </c>
      <c r="H53" s="21" t="n">
        <v>1042.89</v>
      </c>
      <c r="I53" s="21" t="n">
        <v>7300.23</v>
      </c>
      <c r="J53" s="20"/>
      <c r="K53" s="23" t="s">
        <v>165</v>
      </c>
      <c r="L53" s="20" t="n">
        <f aca="false">VLOOKUP(K53,'Job Costing'!$A$5:$B$23,2,0)</f>
        <v>2600</v>
      </c>
      <c r="M53" s="20" t="str">
        <f aca="false">VLOOKUP(D53,'Data - Items'!$A$4:$I$35,9,0)</f>
        <v>Timber</v>
      </c>
      <c r="N53" s="34" t="n">
        <f aca="false">IF(M53="Timber",F53*VLOOKUP(D53,'Data - Items'!$A$4:$H$35,8,0),0)</f>
        <v>10.427484375</v>
      </c>
    </row>
    <row r="54" customFormat="false" ht="15" hidden="false" customHeight="false" outlineLevel="0" collapsed="false">
      <c r="A54" s="20" t="n">
        <v>11883</v>
      </c>
      <c r="B54" s="22" t="n">
        <v>45978</v>
      </c>
      <c r="C54" s="20" t="s">
        <v>165</v>
      </c>
      <c r="D54" s="20" t="s">
        <v>323</v>
      </c>
      <c r="E54" s="20" t="s">
        <v>220</v>
      </c>
      <c r="F54" s="20" t="n">
        <v>13</v>
      </c>
      <c r="G54" s="20" t="s">
        <v>303</v>
      </c>
      <c r="H54" s="21" t="n">
        <v>395.52</v>
      </c>
      <c r="I54" s="21" t="n">
        <v>5141.76</v>
      </c>
      <c r="J54" s="20"/>
      <c r="K54" s="23" t="s">
        <v>165</v>
      </c>
      <c r="L54" s="20" t="n">
        <f aca="false">VLOOKUP(K54,'Job Costing'!$A$5:$B$23,2,0)</f>
        <v>2600</v>
      </c>
      <c r="M54" s="20" t="str">
        <f aca="false">VLOOKUP(D54,'Data - Items'!$A$4:$I$35,9,0)</f>
        <v>Timber</v>
      </c>
      <c r="N54" s="34" t="n">
        <f aca="false">IF(M54="Timber",F54*VLOOKUP(D54,'Data - Items'!$A$4:$H$35,8,0),0)</f>
        <v>7.34448</v>
      </c>
    </row>
    <row r="55" customFormat="false" ht="15" hidden="false" customHeight="false" outlineLevel="0" collapsed="false">
      <c r="A55" s="20" t="n">
        <v>11896</v>
      </c>
      <c r="B55" s="22" t="n">
        <v>45979</v>
      </c>
      <c r="C55" s="20" t="s">
        <v>165</v>
      </c>
      <c r="D55" s="20" t="s">
        <v>322</v>
      </c>
      <c r="E55" s="20" t="s">
        <v>223</v>
      </c>
      <c r="F55" s="20" t="n">
        <v>3</v>
      </c>
      <c r="G55" s="20" t="s">
        <v>303</v>
      </c>
      <c r="H55" s="21" t="n">
        <v>1042.89</v>
      </c>
      <c r="I55" s="21" t="n">
        <v>3128.67</v>
      </c>
      <c r="J55" s="20" t="s">
        <v>331</v>
      </c>
      <c r="K55" s="23" t="s">
        <v>165</v>
      </c>
      <c r="L55" s="20" t="n">
        <f aca="false">VLOOKUP(K55,'Job Costing'!$A$5:$B$23,2,0)</f>
        <v>2600</v>
      </c>
      <c r="M55" s="20" t="str">
        <f aca="false">VLOOKUP(D55,'Data - Items'!$A$4:$I$35,9,0)</f>
        <v>Timber</v>
      </c>
      <c r="N55" s="34" t="n">
        <f aca="false">IF(M55="Timber",F55*VLOOKUP(D55,'Data - Items'!$A$4:$H$35,8,0),0)</f>
        <v>4.468921875</v>
      </c>
    </row>
    <row r="56" customFormat="false" ht="15" hidden="false" customHeight="false" outlineLevel="0" collapsed="false">
      <c r="A56" s="20" t="n">
        <v>11910</v>
      </c>
      <c r="B56" s="22" t="n">
        <v>45987</v>
      </c>
      <c r="C56" s="20" t="s">
        <v>167</v>
      </c>
      <c r="D56" s="20" t="s">
        <v>298</v>
      </c>
      <c r="E56" s="20" t="s">
        <v>299</v>
      </c>
      <c r="F56" s="20" t="n">
        <v>7</v>
      </c>
      <c r="G56" s="20" t="s">
        <v>300</v>
      </c>
      <c r="H56" s="21" t="n">
        <v>640</v>
      </c>
      <c r="I56" s="21" t="n">
        <v>4480</v>
      </c>
      <c r="J56" s="20"/>
      <c r="K56" s="23" t="s">
        <v>167</v>
      </c>
      <c r="L56" s="20" t="n">
        <f aca="false">VLOOKUP(K56,'Job Costing'!$A$5:$B$23,2,0)</f>
        <v>2400</v>
      </c>
      <c r="M56" s="20" t="str">
        <f aca="false">VLOOKUP(D56,'Data - Items'!$A$4:$I$35,9,0)</f>
        <v>Bubble wrap</v>
      </c>
      <c r="N56" s="34" t="n">
        <f aca="false">IF(M56="Timber",F56*VLOOKUP(D56,'Data - Items'!$A$4:$H$35,8,0),0)</f>
        <v>0</v>
      </c>
    </row>
    <row r="57" customFormat="false" ht="15" hidden="false" customHeight="false" outlineLevel="0" collapsed="false">
      <c r="A57" s="20" t="n">
        <v>11910</v>
      </c>
      <c r="B57" s="22" t="n">
        <v>45987</v>
      </c>
      <c r="C57" s="20" t="s">
        <v>167</v>
      </c>
      <c r="D57" s="20" t="s">
        <v>301</v>
      </c>
      <c r="E57" s="20" t="s">
        <v>302</v>
      </c>
      <c r="F57" s="20" t="n">
        <v>6</v>
      </c>
      <c r="G57" s="20" t="s">
        <v>303</v>
      </c>
      <c r="H57" s="21" t="n">
        <v>78</v>
      </c>
      <c r="I57" s="21" t="n">
        <v>468</v>
      </c>
      <c r="J57" s="20"/>
      <c r="K57" s="23" t="s">
        <v>167</v>
      </c>
      <c r="L57" s="20" t="n">
        <f aca="false">VLOOKUP(K57,'Job Costing'!$A$5:$B$23,2,0)</f>
        <v>2400</v>
      </c>
      <c r="M57" s="20" t="str">
        <f aca="false">VLOOKUP(D57,'Data - Items'!$A$4:$I$35,9,0)</f>
        <v>Gum tape</v>
      </c>
      <c r="N57" s="34" t="n">
        <f aca="false">IF(M57="Timber",F57*VLOOKUP(D57,'Data - Items'!$A$4:$H$35,8,0),0)</f>
        <v>0</v>
      </c>
    </row>
    <row r="58" customFormat="false" ht="15" hidden="false" customHeight="false" outlineLevel="0" collapsed="false">
      <c r="A58" s="20" t="n">
        <v>11910</v>
      </c>
      <c r="B58" s="22" t="n">
        <v>45987</v>
      </c>
      <c r="C58" s="20" t="s">
        <v>167</v>
      </c>
      <c r="D58" s="20" t="s">
        <v>304</v>
      </c>
      <c r="E58" s="20" t="s">
        <v>305</v>
      </c>
      <c r="F58" s="20" t="n">
        <v>2200</v>
      </c>
      <c r="G58" s="20" t="s">
        <v>306</v>
      </c>
      <c r="H58" s="21" t="n">
        <v>5</v>
      </c>
      <c r="I58" s="21" t="n">
        <v>11000</v>
      </c>
      <c r="J58" s="20"/>
      <c r="K58" s="23" t="s">
        <v>167</v>
      </c>
      <c r="L58" s="20" t="n">
        <f aca="false">VLOOKUP(K58,'Job Costing'!$A$5:$B$23,2,0)</f>
        <v>2400</v>
      </c>
      <c r="M58" s="20" t="str">
        <f aca="false">VLOOKUP(D58,'Data - Items'!$A$4:$I$35,9,0)</f>
        <v>Tarpaulin</v>
      </c>
      <c r="N58" s="34" t="n">
        <f aca="false">IF(M58="Timber",F58*VLOOKUP(D58,'Data - Items'!$A$4:$H$35,8,0),0)</f>
        <v>0</v>
      </c>
    </row>
    <row r="59" customFormat="false" ht="15" hidden="false" customHeight="false" outlineLevel="0" collapsed="false">
      <c r="A59" s="20" t="n">
        <v>11910</v>
      </c>
      <c r="B59" s="22" t="n">
        <v>45987</v>
      </c>
      <c r="C59" s="20" t="s">
        <v>167</v>
      </c>
      <c r="D59" s="20" t="s">
        <v>307</v>
      </c>
      <c r="E59" s="20" t="s">
        <v>308</v>
      </c>
      <c r="F59" s="20" t="n">
        <v>4</v>
      </c>
      <c r="G59" s="20" t="s">
        <v>300</v>
      </c>
      <c r="H59" s="21" t="n">
        <v>2100</v>
      </c>
      <c r="I59" s="21" t="n">
        <v>8400</v>
      </c>
      <c r="J59" s="20"/>
      <c r="K59" s="23" t="s">
        <v>167</v>
      </c>
      <c r="L59" s="20" t="n">
        <f aca="false">VLOOKUP(K59,'Job Costing'!$A$5:$B$23,2,0)</f>
        <v>2400</v>
      </c>
      <c r="M59" s="20" t="str">
        <f aca="false">VLOOKUP(D59,'Data - Items'!$A$4:$I$35,9,0)</f>
        <v>Foam</v>
      </c>
      <c r="N59" s="34" t="n">
        <f aca="false">IF(M59="Timber",F59*VLOOKUP(D59,'Data - Items'!$A$4:$H$35,8,0),0)</f>
        <v>0</v>
      </c>
    </row>
    <row r="60" customFormat="false" ht="15" hidden="false" customHeight="false" outlineLevel="0" collapsed="false">
      <c r="A60" s="20" t="n">
        <v>11910</v>
      </c>
      <c r="B60" s="22" t="n">
        <v>45987</v>
      </c>
      <c r="C60" s="20" t="s">
        <v>167</v>
      </c>
      <c r="D60" s="20" t="s">
        <v>309</v>
      </c>
      <c r="E60" s="20" t="s">
        <v>310</v>
      </c>
      <c r="F60" s="20" t="n">
        <v>10</v>
      </c>
      <c r="G60" s="20" t="s">
        <v>311</v>
      </c>
      <c r="H60" s="21" t="n">
        <v>90</v>
      </c>
      <c r="I60" s="21" t="n">
        <v>900</v>
      </c>
      <c r="J60" s="20"/>
      <c r="K60" s="23" t="s">
        <v>167</v>
      </c>
      <c r="L60" s="20" t="n">
        <f aca="false">VLOOKUP(K60,'Job Costing'!$A$5:$B$23,2,0)</f>
        <v>2400</v>
      </c>
      <c r="M60" s="20" t="str">
        <f aca="false">VLOOKUP(D60,'Data - Items'!$A$4:$I$35,9,0)</f>
        <v>Nails</v>
      </c>
      <c r="N60" s="34" t="n">
        <f aca="false">IF(M60="Timber",F60*VLOOKUP(D60,'Data - Items'!$A$4:$H$35,8,0),0)</f>
        <v>0</v>
      </c>
    </row>
    <row r="61" customFormat="false" ht="15" hidden="false" customHeight="false" outlineLevel="0" collapsed="false">
      <c r="A61" s="20" t="n">
        <v>11910</v>
      </c>
      <c r="B61" s="22" t="n">
        <v>45987</v>
      </c>
      <c r="C61" s="20" t="s">
        <v>167</v>
      </c>
      <c r="D61" s="20" t="s">
        <v>312</v>
      </c>
      <c r="E61" s="20" t="s">
        <v>313</v>
      </c>
      <c r="F61" s="20" t="n">
        <v>18</v>
      </c>
      <c r="G61" s="20" t="s">
        <v>303</v>
      </c>
      <c r="H61" s="21" t="n">
        <v>160</v>
      </c>
      <c r="I61" s="21" t="n">
        <v>2880</v>
      </c>
      <c r="J61" s="20"/>
      <c r="K61" s="23" t="s">
        <v>167</v>
      </c>
      <c r="L61" s="20" t="n">
        <f aca="false">VLOOKUP(K61,'Job Costing'!$A$5:$B$23,2,0)</f>
        <v>2400</v>
      </c>
      <c r="M61" s="20" t="str">
        <f aca="false">VLOOKUP(D61,'Data - Items'!$A$4:$I$35,9,0)</f>
        <v>Ply cover</v>
      </c>
      <c r="N61" s="34" t="n">
        <f aca="false">IF(M61="Timber",F61*VLOOKUP(D61,'Data - Items'!$A$4:$H$35,8,0),0)</f>
        <v>0</v>
      </c>
    </row>
    <row r="62" customFormat="false" ht="15" hidden="false" customHeight="false" outlineLevel="0" collapsed="false">
      <c r="A62" s="20" t="n">
        <v>11910</v>
      </c>
      <c r="B62" s="22" t="n">
        <v>45987</v>
      </c>
      <c r="C62" s="20" t="s">
        <v>167</v>
      </c>
      <c r="D62" s="20" t="s">
        <v>314</v>
      </c>
      <c r="E62" s="20" t="s">
        <v>315</v>
      </c>
      <c r="F62" s="20" t="n">
        <v>14</v>
      </c>
      <c r="G62" s="20" t="s">
        <v>303</v>
      </c>
      <c r="H62" s="21" t="n">
        <v>900</v>
      </c>
      <c r="I62" s="21" t="n">
        <v>12600</v>
      </c>
      <c r="J62" s="20"/>
      <c r="K62" s="23" t="s">
        <v>167</v>
      </c>
      <c r="L62" s="20" t="n">
        <f aca="false">VLOOKUP(K62,'Job Costing'!$A$5:$B$23,2,0)</f>
        <v>2400</v>
      </c>
      <c r="M62" s="20" t="str">
        <f aca="false">VLOOKUP(D62,'Data - Items'!$A$4:$I$35,9,0)</f>
        <v>Ratchet belt</v>
      </c>
      <c r="N62" s="34" t="n">
        <f aca="false">IF(M62="Timber",F62*VLOOKUP(D62,'Data - Items'!$A$4:$H$35,8,0),0)</f>
        <v>0</v>
      </c>
    </row>
    <row r="63" customFormat="false" ht="15" hidden="false" customHeight="false" outlineLevel="0" collapsed="false">
      <c r="A63" s="20" t="n">
        <v>11910</v>
      </c>
      <c r="B63" s="22" t="n">
        <v>45987</v>
      </c>
      <c r="C63" s="20" t="s">
        <v>167</v>
      </c>
      <c r="D63" s="20" t="s">
        <v>316</v>
      </c>
      <c r="E63" s="20" t="s">
        <v>317</v>
      </c>
      <c r="F63" s="20" t="n">
        <v>13.6</v>
      </c>
      <c r="G63" s="20" t="s">
        <v>318</v>
      </c>
      <c r="H63" s="21" t="n">
        <v>158</v>
      </c>
      <c r="I63" s="21" t="n">
        <v>2148.8</v>
      </c>
      <c r="J63" s="20"/>
      <c r="K63" s="23" t="s">
        <v>167</v>
      </c>
      <c r="L63" s="20" t="n">
        <f aca="false">VLOOKUP(K63,'Job Costing'!$A$5:$B$23,2,0)</f>
        <v>2400</v>
      </c>
      <c r="M63" s="20" t="str">
        <f aca="false">VLOOKUP(D63,'Data - Items'!$A$4:$I$35,9,0)</f>
        <v>Stretch film</v>
      </c>
      <c r="N63" s="34" t="n">
        <f aca="false">IF(M63="Timber",F63*VLOOKUP(D63,'Data - Items'!$A$4:$H$35,8,0),0)</f>
        <v>0</v>
      </c>
    </row>
    <row r="64" customFormat="false" ht="15" hidden="false" customHeight="false" outlineLevel="0" collapsed="false">
      <c r="A64" s="20" t="n">
        <v>11910</v>
      </c>
      <c r="B64" s="22" t="n">
        <v>45987</v>
      </c>
      <c r="C64" s="20" t="s">
        <v>167</v>
      </c>
      <c r="D64" s="20" t="s">
        <v>324</v>
      </c>
      <c r="E64" s="20" t="s">
        <v>217</v>
      </c>
      <c r="F64" s="20" t="n">
        <v>27</v>
      </c>
      <c r="G64" s="20" t="s">
        <v>303</v>
      </c>
      <c r="H64" s="21" t="n">
        <v>383.16</v>
      </c>
      <c r="I64" s="21" t="n">
        <v>10345.32</v>
      </c>
      <c r="J64" s="20"/>
      <c r="K64" s="23" t="s">
        <v>167</v>
      </c>
      <c r="L64" s="20" t="n">
        <f aca="false">VLOOKUP(K64,'Job Costing'!$A$5:$B$23,2,0)</f>
        <v>2400</v>
      </c>
      <c r="M64" s="20" t="str">
        <f aca="false">VLOOKUP(D64,'Data - Items'!$A$4:$I$35,9,0)</f>
        <v>Timber</v>
      </c>
      <c r="N64" s="34" t="n">
        <f aca="false">IF(M64="Timber",F64*VLOOKUP(D64,'Data - Items'!$A$4:$H$35,8,0),0)</f>
        <v>14.777235</v>
      </c>
    </row>
    <row r="65" customFormat="false" ht="15" hidden="false" customHeight="false" outlineLevel="0" collapsed="false">
      <c r="A65" s="20" t="n">
        <v>11910</v>
      </c>
      <c r="B65" s="22" t="n">
        <v>45987</v>
      </c>
      <c r="C65" s="20" t="s">
        <v>167</v>
      </c>
      <c r="D65" s="20" t="s">
        <v>320</v>
      </c>
      <c r="E65" s="20" t="s">
        <v>204</v>
      </c>
      <c r="F65" s="20" t="n">
        <v>20</v>
      </c>
      <c r="G65" s="20" t="s">
        <v>303</v>
      </c>
      <c r="H65" s="21" t="n">
        <v>18.54</v>
      </c>
      <c r="I65" s="21" t="n">
        <v>370.8</v>
      </c>
      <c r="J65" s="20"/>
      <c r="K65" s="23" t="s">
        <v>167</v>
      </c>
      <c r="L65" s="20" t="n">
        <f aca="false">VLOOKUP(K65,'Job Costing'!$A$5:$B$23,2,0)</f>
        <v>2400</v>
      </c>
      <c r="M65" s="20" t="str">
        <f aca="false">VLOOKUP(D65,'Data - Items'!$A$4:$I$35,9,0)</f>
        <v>Timber</v>
      </c>
      <c r="N65" s="34" t="n">
        <f aca="false">IF(M65="Timber",F65*VLOOKUP(D65,'Data - Items'!$A$4:$H$35,8,0),0)</f>
        <v>0.52965</v>
      </c>
    </row>
    <row r="66" customFormat="false" ht="15" hidden="false" customHeight="false" outlineLevel="0" collapsed="false">
      <c r="A66" s="20" t="n">
        <v>11910</v>
      </c>
      <c r="B66" s="22" t="n">
        <v>45987</v>
      </c>
      <c r="C66" s="20" t="s">
        <v>167</v>
      </c>
      <c r="D66" s="20" t="s">
        <v>325</v>
      </c>
      <c r="E66" s="20" t="s">
        <v>218</v>
      </c>
      <c r="F66" s="20" t="n">
        <v>15</v>
      </c>
      <c r="G66" s="20" t="s">
        <v>303</v>
      </c>
      <c r="H66" s="21" t="n">
        <v>431.06</v>
      </c>
      <c r="I66" s="21" t="n">
        <v>6465.9</v>
      </c>
      <c r="J66" s="20"/>
      <c r="K66" s="23" t="s">
        <v>167</v>
      </c>
      <c r="L66" s="20" t="n">
        <f aca="false">VLOOKUP(K66,'Job Costing'!$A$5:$B$23,2,0)</f>
        <v>2400</v>
      </c>
      <c r="M66" s="20" t="str">
        <f aca="false">VLOOKUP(D66,'Data - Items'!$A$4:$I$35,9,0)</f>
        <v>Timber</v>
      </c>
      <c r="N66" s="34" t="n">
        <f aca="false">IF(M66="Timber",F66*VLOOKUP(D66,'Data - Items'!$A$4:$H$35,8,0),0)</f>
        <v>9.235771875</v>
      </c>
    </row>
    <row r="67" customFormat="false" ht="15" hidden="false" customHeight="false" outlineLevel="0" collapsed="false">
      <c r="A67" s="20" t="n">
        <v>11910</v>
      </c>
      <c r="B67" s="22" t="n">
        <v>45987</v>
      </c>
      <c r="C67" s="20" t="s">
        <v>167</v>
      </c>
      <c r="D67" s="20" t="s">
        <v>326</v>
      </c>
      <c r="E67" s="20" t="s">
        <v>219</v>
      </c>
      <c r="F67" s="20" t="n">
        <v>16</v>
      </c>
      <c r="G67" s="20" t="s">
        <v>303</v>
      </c>
      <c r="H67" s="21" t="n">
        <v>987.27</v>
      </c>
      <c r="I67" s="21" t="n">
        <v>15796.32</v>
      </c>
      <c r="J67" s="20"/>
      <c r="K67" s="23" t="s">
        <v>167</v>
      </c>
      <c r="L67" s="20" t="n">
        <f aca="false">VLOOKUP(K67,'Job Costing'!$A$5:$B$23,2,0)</f>
        <v>2400</v>
      </c>
      <c r="M67" s="20" t="str">
        <f aca="false">VLOOKUP(D67,'Data - Items'!$A$4:$I$35,9,0)</f>
        <v>Timber</v>
      </c>
      <c r="N67" s="34" t="n">
        <f aca="false">IF(M67="Timber",F67*VLOOKUP(D67,'Data - Items'!$A$4:$H$35,8,0),0)</f>
        <v>22.56309</v>
      </c>
    </row>
    <row r="68" customFormat="false" ht="15" hidden="false" customHeight="false" outlineLevel="0" collapsed="false">
      <c r="A68" s="20" t="n">
        <v>11910</v>
      </c>
      <c r="B68" s="22" t="n">
        <v>45987</v>
      </c>
      <c r="C68" s="20" t="s">
        <v>167</v>
      </c>
      <c r="D68" s="20" t="s">
        <v>323</v>
      </c>
      <c r="E68" s="20" t="s">
        <v>220</v>
      </c>
      <c r="F68" s="20" t="n">
        <v>23</v>
      </c>
      <c r="G68" s="20" t="s">
        <v>303</v>
      </c>
      <c r="H68" s="21" t="n">
        <v>395.52</v>
      </c>
      <c r="I68" s="21" t="n">
        <v>9096.96</v>
      </c>
      <c r="J68" s="20"/>
      <c r="K68" s="23" t="s">
        <v>167</v>
      </c>
      <c r="L68" s="20" t="n">
        <f aca="false">VLOOKUP(K68,'Job Costing'!$A$5:$B$23,2,0)</f>
        <v>2400</v>
      </c>
      <c r="M68" s="20" t="str">
        <f aca="false">VLOOKUP(D68,'Data - Items'!$A$4:$I$35,9,0)</f>
        <v>Timber</v>
      </c>
      <c r="N68" s="34" t="n">
        <f aca="false">IF(M68="Timber",F68*VLOOKUP(D68,'Data - Items'!$A$4:$H$35,8,0),0)</f>
        <v>12.99408</v>
      </c>
    </row>
    <row r="69" customFormat="false" ht="15" hidden="false" customHeight="false" outlineLevel="0" collapsed="false">
      <c r="A69" s="20" t="n">
        <v>11932</v>
      </c>
      <c r="B69" s="22" t="n">
        <v>46000</v>
      </c>
      <c r="C69" s="20" t="s">
        <v>168</v>
      </c>
      <c r="D69" s="20" t="s">
        <v>298</v>
      </c>
      <c r="E69" s="20" t="s">
        <v>299</v>
      </c>
      <c r="F69" s="20" t="n">
        <v>2</v>
      </c>
      <c r="G69" s="20" t="s">
        <v>300</v>
      </c>
      <c r="H69" s="21" t="n">
        <v>640</v>
      </c>
      <c r="I69" s="21" t="n">
        <v>1280</v>
      </c>
      <c r="J69" s="20"/>
      <c r="K69" s="23" t="s">
        <v>168</v>
      </c>
      <c r="L69" s="20" t="n">
        <f aca="false">VLOOKUP(K69,'Job Costing'!$A$5:$B$23,2,0)</f>
        <v>1400</v>
      </c>
      <c r="M69" s="20" t="str">
        <f aca="false">VLOOKUP(D69,'Data - Items'!$A$4:$I$35,9,0)</f>
        <v>Bubble wrap</v>
      </c>
      <c r="N69" s="34" t="n">
        <f aca="false">IF(M69="Timber",F69*VLOOKUP(D69,'Data - Items'!$A$4:$H$35,8,0),0)</f>
        <v>0</v>
      </c>
    </row>
    <row r="70" customFormat="false" ht="15" hidden="false" customHeight="false" outlineLevel="0" collapsed="false">
      <c r="A70" s="20" t="n">
        <v>11932</v>
      </c>
      <c r="B70" s="22" t="n">
        <v>46000</v>
      </c>
      <c r="C70" s="20" t="s">
        <v>168</v>
      </c>
      <c r="D70" s="20" t="s">
        <v>301</v>
      </c>
      <c r="E70" s="20" t="s">
        <v>302</v>
      </c>
      <c r="F70" s="20" t="n">
        <v>2</v>
      </c>
      <c r="G70" s="20" t="s">
        <v>303</v>
      </c>
      <c r="H70" s="21" t="n">
        <v>78</v>
      </c>
      <c r="I70" s="21" t="n">
        <v>156</v>
      </c>
      <c r="J70" s="20"/>
      <c r="K70" s="23" t="s">
        <v>168</v>
      </c>
      <c r="L70" s="20" t="n">
        <f aca="false">VLOOKUP(K70,'Job Costing'!$A$5:$B$23,2,0)</f>
        <v>1400</v>
      </c>
      <c r="M70" s="20" t="str">
        <f aca="false">VLOOKUP(D70,'Data - Items'!$A$4:$I$35,9,0)</f>
        <v>Gum tape</v>
      </c>
      <c r="N70" s="34" t="n">
        <f aca="false">IF(M70="Timber",F70*VLOOKUP(D70,'Data - Items'!$A$4:$H$35,8,0),0)</f>
        <v>0</v>
      </c>
    </row>
    <row r="71" customFormat="false" ht="15" hidden="false" customHeight="false" outlineLevel="0" collapsed="false">
      <c r="A71" s="20" t="n">
        <v>11932</v>
      </c>
      <c r="B71" s="22" t="n">
        <v>46000</v>
      </c>
      <c r="C71" s="20" t="s">
        <v>168</v>
      </c>
      <c r="D71" s="20" t="s">
        <v>307</v>
      </c>
      <c r="E71" s="20" t="s">
        <v>308</v>
      </c>
      <c r="F71" s="20" t="n">
        <v>1</v>
      </c>
      <c r="G71" s="20" t="s">
        <v>300</v>
      </c>
      <c r="H71" s="21" t="n">
        <v>2100</v>
      </c>
      <c r="I71" s="21" t="n">
        <v>2100</v>
      </c>
      <c r="J71" s="20"/>
      <c r="K71" s="23" t="s">
        <v>168</v>
      </c>
      <c r="L71" s="20" t="n">
        <f aca="false">VLOOKUP(K71,'Job Costing'!$A$5:$B$23,2,0)</f>
        <v>1400</v>
      </c>
      <c r="M71" s="20" t="str">
        <f aca="false">VLOOKUP(D71,'Data - Items'!$A$4:$I$35,9,0)</f>
        <v>Foam</v>
      </c>
      <c r="N71" s="34" t="n">
        <f aca="false">IF(M71="Timber",F71*VLOOKUP(D71,'Data - Items'!$A$4:$H$35,8,0),0)</f>
        <v>0</v>
      </c>
    </row>
    <row r="72" customFormat="false" ht="15" hidden="false" customHeight="false" outlineLevel="0" collapsed="false">
      <c r="A72" s="20" t="n">
        <v>11932</v>
      </c>
      <c r="B72" s="22" t="n">
        <v>46000</v>
      </c>
      <c r="C72" s="20" t="s">
        <v>168</v>
      </c>
      <c r="D72" s="20" t="s">
        <v>309</v>
      </c>
      <c r="E72" s="20" t="s">
        <v>310</v>
      </c>
      <c r="F72" s="20" t="n">
        <v>2</v>
      </c>
      <c r="G72" s="20" t="s">
        <v>311</v>
      </c>
      <c r="H72" s="21" t="n">
        <v>90</v>
      </c>
      <c r="I72" s="21" t="n">
        <v>180</v>
      </c>
      <c r="J72" s="20"/>
      <c r="K72" s="23" t="s">
        <v>168</v>
      </c>
      <c r="L72" s="20" t="n">
        <f aca="false">VLOOKUP(K72,'Job Costing'!$A$5:$B$23,2,0)</f>
        <v>1400</v>
      </c>
      <c r="M72" s="20" t="str">
        <f aca="false">VLOOKUP(D72,'Data - Items'!$A$4:$I$35,9,0)</f>
        <v>Nails</v>
      </c>
      <c r="N72" s="34" t="n">
        <f aca="false">IF(M72="Timber",F72*VLOOKUP(D72,'Data - Items'!$A$4:$H$35,8,0),0)</f>
        <v>0</v>
      </c>
    </row>
    <row r="73" customFormat="false" ht="15" hidden="false" customHeight="false" outlineLevel="0" collapsed="false">
      <c r="A73" s="20" t="n">
        <v>11932</v>
      </c>
      <c r="B73" s="22" t="n">
        <v>46000</v>
      </c>
      <c r="C73" s="20" t="s">
        <v>168</v>
      </c>
      <c r="D73" s="20" t="s">
        <v>312</v>
      </c>
      <c r="E73" s="20" t="s">
        <v>313</v>
      </c>
      <c r="F73" s="20" t="n">
        <v>10</v>
      </c>
      <c r="G73" s="20" t="s">
        <v>303</v>
      </c>
      <c r="H73" s="21" t="n">
        <v>160</v>
      </c>
      <c r="I73" s="21" t="n">
        <v>1600</v>
      </c>
      <c r="J73" s="20"/>
      <c r="K73" s="23" t="s">
        <v>168</v>
      </c>
      <c r="L73" s="20" t="n">
        <f aca="false">VLOOKUP(K73,'Job Costing'!$A$5:$B$23,2,0)</f>
        <v>1400</v>
      </c>
      <c r="M73" s="20" t="str">
        <f aca="false">VLOOKUP(D73,'Data - Items'!$A$4:$I$35,9,0)</f>
        <v>Ply cover</v>
      </c>
      <c r="N73" s="34" t="n">
        <f aca="false">IF(M73="Timber",F73*VLOOKUP(D73,'Data - Items'!$A$4:$H$35,8,0),0)</f>
        <v>0</v>
      </c>
    </row>
    <row r="74" customFormat="false" ht="15" hidden="false" customHeight="false" outlineLevel="0" collapsed="false">
      <c r="A74" s="20" t="n">
        <v>11932</v>
      </c>
      <c r="B74" s="22" t="n">
        <v>46000</v>
      </c>
      <c r="C74" s="20" t="s">
        <v>168</v>
      </c>
      <c r="D74" s="20" t="s">
        <v>314</v>
      </c>
      <c r="E74" s="20" t="s">
        <v>315</v>
      </c>
      <c r="F74" s="20" t="n">
        <v>4</v>
      </c>
      <c r="G74" s="20" t="s">
        <v>303</v>
      </c>
      <c r="H74" s="21" t="n">
        <v>900</v>
      </c>
      <c r="I74" s="21" t="n">
        <v>3600</v>
      </c>
      <c r="J74" s="20"/>
      <c r="K74" s="23" t="s">
        <v>168</v>
      </c>
      <c r="L74" s="20" t="n">
        <f aca="false">VLOOKUP(K74,'Job Costing'!$A$5:$B$23,2,0)</f>
        <v>1400</v>
      </c>
      <c r="M74" s="20" t="str">
        <f aca="false">VLOOKUP(D74,'Data - Items'!$A$4:$I$35,9,0)</f>
        <v>Ratchet belt</v>
      </c>
      <c r="N74" s="34" t="n">
        <f aca="false">IF(M74="Timber",F74*VLOOKUP(D74,'Data - Items'!$A$4:$H$35,8,0),0)</f>
        <v>0</v>
      </c>
    </row>
    <row r="75" customFormat="false" ht="15" hidden="false" customHeight="false" outlineLevel="0" collapsed="false">
      <c r="A75" s="20" t="n">
        <v>11932</v>
      </c>
      <c r="B75" s="22" t="n">
        <v>46000</v>
      </c>
      <c r="C75" s="20" t="s">
        <v>168</v>
      </c>
      <c r="D75" s="20" t="s">
        <v>316</v>
      </c>
      <c r="E75" s="20" t="s">
        <v>317</v>
      </c>
      <c r="F75" s="20" t="n">
        <v>3.4</v>
      </c>
      <c r="G75" s="20" t="s">
        <v>318</v>
      </c>
      <c r="H75" s="21" t="n">
        <v>158</v>
      </c>
      <c r="I75" s="21" t="n">
        <v>537.2</v>
      </c>
      <c r="J75" s="20"/>
      <c r="K75" s="23" t="s">
        <v>168</v>
      </c>
      <c r="L75" s="20" t="n">
        <f aca="false">VLOOKUP(K75,'Job Costing'!$A$5:$B$23,2,0)</f>
        <v>1400</v>
      </c>
      <c r="M75" s="20" t="str">
        <f aca="false">VLOOKUP(D75,'Data - Items'!$A$4:$I$35,9,0)</f>
        <v>Stretch film</v>
      </c>
      <c r="N75" s="34" t="n">
        <f aca="false">IF(M75="Timber",F75*VLOOKUP(D75,'Data - Items'!$A$4:$H$35,8,0),0)</f>
        <v>0</v>
      </c>
    </row>
    <row r="76" customFormat="false" ht="15" hidden="false" customHeight="false" outlineLevel="0" collapsed="false">
      <c r="A76" s="20" t="n">
        <v>11932</v>
      </c>
      <c r="B76" s="22" t="n">
        <v>46000</v>
      </c>
      <c r="C76" s="20" t="s">
        <v>168</v>
      </c>
      <c r="D76" s="20" t="s">
        <v>332</v>
      </c>
      <c r="E76" s="20" t="s">
        <v>203</v>
      </c>
      <c r="F76" s="20" t="n">
        <v>13</v>
      </c>
      <c r="G76" s="20" t="s">
        <v>303</v>
      </c>
      <c r="H76" s="21" t="n">
        <v>222.48</v>
      </c>
      <c r="I76" s="21" t="n">
        <v>2892.24</v>
      </c>
      <c r="J76" s="20"/>
      <c r="K76" s="23" t="s">
        <v>168</v>
      </c>
      <c r="L76" s="20" t="n">
        <f aca="false">VLOOKUP(K76,'Job Costing'!$A$5:$B$23,2,0)</f>
        <v>1400</v>
      </c>
      <c r="M76" s="20" t="str">
        <f aca="false">VLOOKUP(D76,'Data - Items'!$A$4:$I$35,9,0)</f>
        <v>Timber</v>
      </c>
      <c r="N76" s="34" t="n">
        <f aca="false">IF(M76="Timber",F76*VLOOKUP(D76,'Data - Items'!$A$4:$H$35,8,0),0)</f>
        <v>4.13127</v>
      </c>
    </row>
    <row r="77" customFormat="false" ht="15" hidden="false" customHeight="false" outlineLevel="0" collapsed="false">
      <c r="A77" s="20" t="n">
        <v>11932</v>
      </c>
      <c r="B77" s="22" t="n">
        <v>46000</v>
      </c>
      <c r="C77" s="20" t="s">
        <v>168</v>
      </c>
      <c r="D77" s="20" t="s">
        <v>320</v>
      </c>
      <c r="E77" s="20" t="s">
        <v>204</v>
      </c>
      <c r="F77" s="20" t="n">
        <v>9</v>
      </c>
      <c r="G77" s="20" t="s">
        <v>303</v>
      </c>
      <c r="H77" s="21" t="n">
        <v>18.54</v>
      </c>
      <c r="I77" s="21" t="n">
        <v>166.86</v>
      </c>
      <c r="J77" s="20"/>
      <c r="K77" s="23" t="s">
        <v>168</v>
      </c>
      <c r="L77" s="20" t="n">
        <f aca="false">VLOOKUP(K77,'Job Costing'!$A$5:$B$23,2,0)</f>
        <v>1400</v>
      </c>
      <c r="M77" s="20" t="str">
        <f aca="false">VLOOKUP(D77,'Data - Items'!$A$4:$I$35,9,0)</f>
        <v>Timber</v>
      </c>
      <c r="N77" s="34" t="n">
        <f aca="false">IF(M77="Timber",F77*VLOOKUP(D77,'Data - Items'!$A$4:$H$35,8,0),0)</f>
        <v>0.2383425</v>
      </c>
    </row>
    <row r="78" customFormat="false" ht="15" hidden="false" customHeight="false" outlineLevel="0" collapsed="false">
      <c r="A78" s="20" t="n">
        <v>11932</v>
      </c>
      <c r="B78" s="22" t="n">
        <v>46000</v>
      </c>
      <c r="C78" s="20" t="s">
        <v>168</v>
      </c>
      <c r="D78" s="20" t="s">
        <v>328</v>
      </c>
      <c r="E78" s="20" t="s">
        <v>205</v>
      </c>
      <c r="F78" s="20" t="n">
        <v>9</v>
      </c>
      <c r="G78" s="20" t="s">
        <v>303</v>
      </c>
      <c r="H78" s="21" t="n">
        <v>166.86</v>
      </c>
      <c r="I78" s="21" t="n">
        <v>1501.74</v>
      </c>
      <c r="J78" s="20"/>
      <c r="K78" s="23" t="s">
        <v>168</v>
      </c>
      <c r="L78" s="20" t="n">
        <f aca="false">VLOOKUP(K78,'Job Costing'!$A$5:$B$23,2,0)</f>
        <v>1400</v>
      </c>
      <c r="M78" s="20" t="str">
        <f aca="false">VLOOKUP(D78,'Data - Items'!$A$4:$I$35,9,0)</f>
        <v>Timber</v>
      </c>
      <c r="N78" s="34" t="n">
        <f aca="false">IF(M78="Timber",F78*VLOOKUP(D78,'Data - Items'!$A$4:$H$35,8,0),0)</f>
        <v>2.1450825</v>
      </c>
    </row>
    <row r="79" customFormat="false" ht="15" hidden="false" customHeight="false" outlineLevel="0" collapsed="false">
      <c r="A79" s="20" t="n">
        <v>11932</v>
      </c>
      <c r="B79" s="22" t="n">
        <v>46000</v>
      </c>
      <c r="C79" s="20" t="s">
        <v>168</v>
      </c>
      <c r="D79" s="20" t="s">
        <v>333</v>
      </c>
      <c r="E79" s="20" t="s">
        <v>206</v>
      </c>
      <c r="F79" s="20" t="n">
        <v>9</v>
      </c>
      <c r="G79" s="20" t="s">
        <v>303</v>
      </c>
      <c r="H79" s="21" t="n">
        <v>709.16</v>
      </c>
      <c r="I79" s="21" t="n">
        <v>6382.44</v>
      </c>
      <c r="J79" s="20"/>
      <c r="K79" s="23" t="s">
        <v>168</v>
      </c>
      <c r="L79" s="20" t="n">
        <f aca="false">VLOOKUP(K79,'Job Costing'!$A$5:$B$23,2,0)</f>
        <v>1400</v>
      </c>
      <c r="M79" s="20" t="str">
        <f aca="false">VLOOKUP(D79,'Data - Items'!$A$4:$I$35,9,0)</f>
        <v>Timber</v>
      </c>
      <c r="N79" s="34" t="n">
        <f aca="false">IF(M79="Timber",F79*VLOOKUP(D79,'Data - Items'!$A$4:$H$35,8,0),0)</f>
        <v>9.116600625</v>
      </c>
    </row>
    <row r="80" customFormat="false" ht="15" hidden="false" customHeight="false" outlineLevel="0" collapsed="false">
      <c r="A80" s="20" t="n">
        <v>11932</v>
      </c>
      <c r="B80" s="22" t="n">
        <v>46000</v>
      </c>
      <c r="C80" s="20" t="s">
        <v>168</v>
      </c>
      <c r="D80" s="20" t="s">
        <v>334</v>
      </c>
      <c r="E80" s="20" t="s">
        <v>207</v>
      </c>
      <c r="F80" s="20" t="n">
        <v>6</v>
      </c>
      <c r="G80" s="20" t="s">
        <v>303</v>
      </c>
      <c r="H80" s="21" t="n">
        <v>250.29</v>
      </c>
      <c r="I80" s="21" t="n">
        <v>1501.74</v>
      </c>
      <c r="J80" s="20"/>
      <c r="K80" s="23" t="s">
        <v>168</v>
      </c>
      <c r="L80" s="20" t="n">
        <f aca="false">VLOOKUP(K80,'Job Costing'!$A$5:$B$23,2,0)</f>
        <v>1400</v>
      </c>
      <c r="M80" s="20" t="str">
        <f aca="false">VLOOKUP(D80,'Data - Items'!$A$4:$I$35,9,0)</f>
        <v>Timber</v>
      </c>
      <c r="N80" s="34" t="n">
        <f aca="false">IF(M80="Timber",F80*VLOOKUP(D80,'Data - Items'!$A$4:$H$35,8,0),0)</f>
        <v>2.1450825</v>
      </c>
    </row>
    <row r="81" customFormat="false" ht="15" hidden="false" customHeight="false" outlineLevel="0" collapsed="false">
      <c r="A81" s="20" t="n">
        <v>11948</v>
      </c>
      <c r="B81" s="22" t="n">
        <v>46009</v>
      </c>
      <c r="C81" s="20" t="s">
        <v>169</v>
      </c>
      <c r="D81" s="20" t="s">
        <v>298</v>
      </c>
      <c r="E81" s="20" t="s">
        <v>299</v>
      </c>
      <c r="F81" s="20" t="n">
        <v>3</v>
      </c>
      <c r="G81" s="20" t="s">
        <v>300</v>
      </c>
      <c r="H81" s="21" t="n">
        <v>640</v>
      </c>
      <c r="I81" s="21" t="n">
        <v>1920</v>
      </c>
      <c r="J81" s="20"/>
      <c r="K81" s="23" t="s">
        <v>169</v>
      </c>
      <c r="L81" s="20" t="n">
        <f aca="false">VLOOKUP(K81,'Job Costing'!$A$5:$B$23,2,0)</f>
        <v>2000</v>
      </c>
      <c r="M81" s="20" t="str">
        <f aca="false">VLOOKUP(D81,'Data - Items'!$A$4:$I$35,9,0)</f>
        <v>Bubble wrap</v>
      </c>
      <c r="N81" s="34" t="n">
        <f aca="false">IF(M81="Timber",F81*VLOOKUP(D81,'Data - Items'!$A$4:$H$35,8,0),0)</f>
        <v>0</v>
      </c>
    </row>
    <row r="82" customFormat="false" ht="15" hidden="false" customHeight="false" outlineLevel="0" collapsed="false">
      <c r="A82" s="20" t="n">
        <v>11948</v>
      </c>
      <c r="B82" s="22" t="n">
        <v>46009</v>
      </c>
      <c r="C82" s="20" t="s">
        <v>169</v>
      </c>
      <c r="D82" s="20" t="s">
        <v>301</v>
      </c>
      <c r="E82" s="20" t="s">
        <v>302</v>
      </c>
      <c r="F82" s="20" t="n">
        <v>4</v>
      </c>
      <c r="G82" s="20" t="s">
        <v>303</v>
      </c>
      <c r="H82" s="21" t="n">
        <v>78</v>
      </c>
      <c r="I82" s="21" t="n">
        <v>312</v>
      </c>
      <c r="J82" s="20"/>
      <c r="K82" s="23" t="s">
        <v>169</v>
      </c>
      <c r="L82" s="20" t="n">
        <f aca="false">VLOOKUP(K82,'Job Costing'!$A$5:$B$23,2,0)</f>
        <v>2000</v>
      </c>
      <c r="M82" s="20" t="str">
        <f aca="false">VLOOKUP(D82,'Data - Items'!$A$4:$I$35,9,0)</f>
        <v>Gum tape</v>
      </c>
      <c r="N82" s="34" t="n">
        <f aca="false">IF(M82="Timber",F82*VLOOKUP(D82,'Data - Items'!$A$4:$H$35,8,0),0)</f>
        <v>0</v>
      </c>
    </row>
    <row r="83" customFormat="false" ht="15" hidden="false" customHeight="false" outlineLevel="0" collapsed="false">
      <c r="A83" s="20" t="n">
        <v>11948</v>
      </c>
      <c r="B83" s="22" t="n">
        <v>46009</v>
      </c>
      <c r="C83" s="20" t="s">
        <v>169</v>
      </c>
      <c r="D83" s="20" t="s">
        <v>307</v>
      </c>
      <c r="E83" s="20" t="s">
        <v>308</v>
      </c>
      <c r="F83" s="20" t="n">
        <v>2</v>
      </c>
      <c r="G83" s="20" t="s">
        <v>300</v>
      </c>
      <c r="H83" s="21" t="n">
        <v>2100</v>
      </c>
      <c r="I83" s="21" t="n">
        <v>4200</v>
      </c>
      <c r="J83" s="20"/>
      <c r="K83" s="23" t="s">
        <v>169</v>
      </c>
      <c r="L83" s="20" t="n">
        <f aca="false">VLOOKUP(K83,'Job Costing'!$A$5:$B$23,2,0)</f>
        <v>2000</v>
      </c>
      <c r="M83" s="20" t="str">
        <f aca="false">VLOOKUP(D83,'Data - Items'!$A$4:$I$35,9,0)</f>
        <v>Foam</v>
      </c>
      <c r="N83" s="34" t="n">
        <f aca="false">IF(M83="Timber",F83*VLOOKUP(D83,'Data - Items'!$A$4:$H$35,8,0),0)</f>
        <v>0</v>
      </c>
    </row>
    <row r="84" customFormat="false" ht="15" hidden="false" customHeight="false" outlineLevel="0" collapsed="false">
      <c r="A84" s="20" t="n">
        <v>11948</v>
      </c>
      <c r="B84" s="22" t="n">
        <v>46009</v>
      </c>
      <c r="C84" s="20" t="s">
        <v>169</v>
      </c>
      <c r="D84" s="20" t="s">
        <v>309</v>
      </c>
      <c r="E84" s="20" t="s">
        <v>310</v>
      </c>
      <c r="F84" s="20" t="n">
        <v>3</v>
      </c>
      <c r="G84" s="20" t="s">
        <v>311</v>
      </c>
      <c r="H84" s="21" t="n">
        <v>90</v>
      </c>
      <c r="I84" s="21" t="n">
        <v>270</v>
      </c>
      <c r="J84" s="20"/>
      <c r="K84" s="23" t="s">
        <v>169</v>
      </c>
      <c r="L84" s="20" t="n">
        <f aca="false">VLOOKUP(K84,'Job Costing'!$A$5:$B$23,2,0)</f>
        <v>2000</v>
      </c>
      <c r="M84" s="20" t="str">
        <f aca="false">VLOOKUP(D84,'Data - Items'!$A$4:$I$35,9,0)</f>
        <v>Nails</v>
      </c>
      <c r="N84" s="34" t="n">
        <f aca="false">IF(M84="Timber",F84*VLOOKUP(D84,'Data - Items'!$A$4:$H$35,8,0),0)</f>
        <v>0</v>
      </c>
    </row>
    <row r="85" customFormat="false" ht="15" hidden="false" customHeight="false" outlineLevel="0" collapsed="false">
      <c r="A85" s="20" t="n">
        <v>11948</v>
      </c>
      <c r="B85" s="22" t="n">
        <v>46009</v>
      </c>
      <c r="C85" s="20" t="s">
        <v>169</v>
      </c>
      <c r="D85" s="20" t="s">
        <v>314</v>
      </c>
      <c r="E85" s="20" t="s">
        <v>315</v>
      </c>
      <c r="F85" s="20" t="n">
        <v>8</v>
      </c>
      <c r="G85" s="20" t="s">
        <v>303</v>
      </c>
      <c r="H85" s="21" t="n">
        <v>900</v>
      </c>
      <c r="I85" s="21" t="n">
        <v>7200</v>
      </c>
      <c r="J85" s="20"/>
      <c r="K85" s="23" t="s">
        <v>169</v>
      </c>
      <c r="L85" s="20" t="n">
        <f aca="false">VLOOKUP(K85,'Job Costing'!$A$5:$B$23,2,0)</f>
        <v>2000</v>
      </c>
      <c r="M85" s="20" t="str">
        <f aca="false">VLOOKUP(D85,'Data - Items'!$A$4:$I$35,9,0)</f>
        <v>Ratchet belt</v>
      </c>
      <c r="N85" s="34" t="n">
        <f aca="false">IF(M85="Timber",F85*VLOOKUP(D85,'Data - Items'!$A$4:$H$35,8,0),0)</f>
        <v>0</v>
      </c>
    </row>
    <row r="86" customFormat="false" ht="15" hidden="false" customHeight="false" outlineLevel="0" collapsed="false">
      <c r="A86" s="20" t="n">
        <v>11948</v>
      </c>
      <c r="B86" s="22" t="n">
        <v>46009</v>
      </c>
      <c r="C86" s="20" t="s">
        <v>169</v>
      </c>
      <c r="D86" s="20" t="s">
        <v>316</v>
      </c>
      <c r="E86" s="20" t="s">
        <v>317</v>
      </c>
      <c r="F86" s="20" t="n">
        <v>10.3</v>
      </c>
      <c r="G86" s="20" t="s">
        <v>318</v>
      </c>
      <c r="H86" s="21" t="n">
        <v>158</v>
      </c>
      <c r="I86" s="21" t="n">
        <v>1627.4</v>
      </c>
      <c r="J86" s="20"/>
      <c r="K86" s="23" t="s">
        <v>169</v>
      </c>
      <c r="L86" s="20" t="n">
        <f aca="false">VLOOKUP(K86,'Job Costing'!$A$5:$B$23,2,0)</f>
        <v>2000</v>
      </c>
      <c r="M86" s="20" t="str">
        <f aca="false">VLOOKUP(D86,'Data - Items'!$A$4:$I$35,9,0)</f>
        <v>Stretch film</v>
      </c>
      <c r="N86" s="34" t="n">
        <f aca="false">IF(M86="Timber",F86*VLOOKUP(D86,'Data - Items'!$A$4:$H$35,8,0),0)</f>
        <v>0</v>
      </c>
    </row>
    <row r="87" customFormat="false" ht="15" hidden="false" customHeight="false" outlineLevel="0" collapsed="false">
      <c r="A87" s="20" t="n">
        <v>11948</v>
      </c>
      <c r="B87" s="22" t="n">
        <v>46009</v>
      </c>
      <c r="C87" s="20" t="s">
        <v>169</v>
      </c>
      <c r="D87" s="20" t="s">
        <v>335</v>
      </c>
      <c r="E87" s="20" t="s">
        <v>214</v>
      </c>
      <c r="F87" s="20" t="n">
        <v>12</v>
      </c>
      <c r="G87" s="20" t="s">
        <v>303</v>
      </c>
      <c r="H87" s="21" t="n">
        <v>321.36</v>
      </c>
      <c r="I87" s="21" t="n">
        <v>3856.32</v>
      </c>
      <c r="J87" s="20"/>
      <c r="K87" s="23" t="s">
        <v>169</v>
      </c>
      <c r="L87" s="20" t="n">
        <f aca="false">VLOOKUP(K87,'Job Costing'!$A$5:$B$23,2,0)</f>
        <v>2000</v>
      </c>
      <c r="M87" s="20" t="str">
        <f aca="false">VLOOKUP(D87,'Data - Items'!$A$4:$I$35,9,0)</f>
        <v>Timber</v>
      </c>
      <c r="N87" s="34" t="n">
        <f aca="false">IF(M87="Timber",F87*VLOOKUP(D87,'Data - Items'!$A$4:$H$35,8,0),0)</f>
        <v>5.50836</v>
      </c>
    </row>
    <row r="88" customFormat="false" ht="15" hidden="false" customHeight="false" outlineLevel="0" collapsed="false">
      <c r="A88" s="20" t="n">
        <v>11948</v>
      </c>
      <c r="B88" s="22" t="n">
        <v>46009</v>
      </c>
      <c r="C88" s="20" t="s">
        <v>169</v>
      </c>
      <c r="D88" s="20" t="s">
        <v>320</v>
      </c>
      <c r="E88" s="20" t="s">
        <v>204</v>
      </c>
      <c r="F88" s="20" t="n">
        <v>13</v>
      </c>
      <c r="G88" s="20" t="s">
        <v>303</v>
      </c>
      <c r="H88" s="21" t="n">
        <v>18.54</v>
      </c>
      <c r="I88" s="21" t="n">
        <v>241.02</v>
      </c>
      <c r="J88" s="20"/>
      <c r="K88" s="23" t="s">
        <v>169</v>
      </c>
      <c r="L88" s="20" t="n">
        <f aca="false">VLOOKUP(K88,'Job Costing'!$A$5:$B$23,2,0)</f>
        <v>2000</v>
      </c>
      <c r="M88" s="20" t="str">
        <f aca="false">VLOOKUP(D88,'Data - Items'!$A$4:$I$35,9,0)</f>
        <v>Timber</v>
      </c>
      <c r="N88" s="34" t="n">
        <f aca="false">IF(M88="Timber",F88*VLOOKUP(D88,'Data - Items'!$A$4:$H$35,8,0),0)</f>
        <v>0.3442725</v>
      </c>
    </row>
    <row r="89" customFormat="false" ht="15" hidden="false" customHeight="false" outlineLevel="0" collapsed="false">
      <c r="A89" s="20" t="n">
        <v>11948</v>
      </c>
      <c r="B89" s="22" t="n">
        <v>46009</v>
      </c>
      <c r="C89" s="20" t="s">
        <v>169</v>
      </c>
      <c r="D89" s="20" t="s">
        <v>328</v>
      </c>
      <c r="E89" s="20" t="s">
        <v>205</v>
      </c>
      <c r="F89" s="20" t="n">
        <v>14</v>
      </c>
      <c r="G89" s="20" t="s">
        <v>303</v>
      </c>
      <c r="H89" s="21" t="n">
        <v>166.86</v>
      </c>
      <c r="I89" s="21" t="n">
        <v>2336.04</v>
      </c>
      <c r="J89" s="20"/>
      <c r="K89" s="23" t="s">
        <v>169</v>
      </c>
      <c r="L89" s="20" t="n">
        <f aca="false">VLOOKUP(K89,'Job Costing'!$A$5:$B$23,2,0)</f>
        <v>2000</v>
      </c>
      <c r="M89" s="20" t="str">
        <f aca="false">VLOOKUP(D89,'Data - Items'!$A$4:$I$35,9,0)</f>
        <v>Timber</v>
      </c>
      <c r="N89" s="34" t="n">
        <f aca="false">IF(M89="Timber",F89*VLOOKUP(D89,'Data - Items'!$A$4:$H$35,8,0),0)</f>
        <v>3.336795</v>
      </c>
    </row>
    <row r="90" customFormat="false" ht="15" hidden="false" customHeight="false" outlineLevel="0" collapsed="false">
      <c r="A90" s="20" t="n">
        <v>11948</v>
      </c>
      <c r="B90" s="22" t="n">
        <v>46009</v>
      </c>
      <c r="C90" s="20" t="s">
        <v>169</v>
      </c>
      <c r="D90" s="20" t="s">
        <v>336</v>
      </c>
      <c r="E90" s="20" t="s">
        <v>215</v>
      </c>
      <c r="F90" s="20" t="n">
        <v>7</v>
      </c>
      <c r="G90" s="20" t="s">
        <v>303</v>
      </c>
      <c r="H90" s="21" t="n">
        <v>361.53</v>
      </c>
      <c r="I90" s="21" t="n">
        <v>2530.71</v>
      </c>
      <c r="J90" s="20"/>
      <c r="K90" s="23" t="s">
        <v>169</v>
      </c>
      <c r="L90" s="20" t="n">
        <f aca="false">VLOOKUP(K90,'Job Costing'!$A$5:$B$23,2,0)</f>
        <v>2000</v>
      </c>
      <c r="M90" s="20" t="str">
        <f aca="false">VLOOKUP(D90,'Data - Items'!$A$4:$I$35,9,0)</f>
        <v>Timber</v>
      </c>
      <c r="N90" s="34" t="n">
        <f aca="false">IF(M90="Timber",F90*VLOOKUP(D90,'Data - Items'!$A$4:$H$35,8,0),0)</f>
        <v>3.61486125</v>
      </c>
    </row>
    <row r="91" customFormat="false" ht="15" hidden="false" customHeight="false" outlineLevel="0" collapsed="false">
      <c r="A91" s="20" t="n">
        <v>11948</v>
      </c>
      <c r="B91" s="22" t="n">
        <v>46009</v>
      </c>
      <c r="C91" s="20" t="s">
        <v>169</v>
      </c>
      <c r="D91" s="20" t="s">
        <v>337</v>
      </c>
      <c r="E91" s="20" t="s">
        <v>216</v>
      </c>
      <c r="F91" s="20" t="n">
        <v>11</v>
      </c>
      <c r="G91" s="20" t="s">
        <v>303</v>
      </c>
      <c r="H91" s="21" t="n">
        <v>681.35</v>
      </c>
      <c r="I91" s="21" t="n">
        <v>7494.85</v>
      </c>
      <c r="J91" s="20"/>
      <c r="K91" s="23" t="s">
        <v>169</v>
      </c>
      <c r="L91" s="20" t="n">
        <f aca="false">VLOOKUP(K91,'Job Costing'!$A$5:$B$23,2,0)</f>
        <v>2000</v>
      </c>
      <c r="M91" s="20" t="str">
        <f aca="false">VLOOKUP(D91,'Data - Items'!$A$4:$I$35,9,0)</f>
        <v>Timber</v>
      </c>
      <c r="N91" s="34" t="n">
        <f aca="false">IF(M91="Timber",F91*VLOOKUP(D91,'Data - Items'!$A$4:$H$35,8,0),0)</f>
        <v>10.705550625</v>
      </c>
    </row>
    <row r="92" customFormat="false" ht="15" hidden="false" customHeight="false" outlineLevel="0" collapsed="false">
      <c r="A92" s="20" t="n">
        <v>11954</v>
      </c>
      <c r="B92" s="22" t="n">
        <v>46010</v>
      </c>
      <c r="C92" s="20" t="s">
        <v>169</v>
      </c>
      <c r="D92" s="20" t="s">
        <v>337</v>
      </c>
      <c r="E92" s="20" t="s">
        <v>216</v>
      </c>
      <c r="F92" s="20" t="n">
        <v>2</v>
      </c>
      <c r="G92" s="20" t="s">
        <v>303</v>
      </c>
      <c r="H92" s="21" t="n">
        <v>681.35</v>
      </c>
      <c r="I92" s="21" t="n">
        <v>1362.7</v>
      </c>
      <c r="J92" s="20" t="s">
        <v>331</v>
      </c>
      <c r="K92" s="23" t="s">
        <v>169</v>
      </c>
      <c r="L92" s="20" t="n">
        <f aca="false">VLOOKUP(K92,'Job Costing'!$A$5:$B$23,2,0)</f>
        <v>2000</v>
      </c>
      <c r="M92" s="20" t="str">
        <f aca="false">VLOOKUP(D92,'Data - Items'!$A$4:$I$35,9,0)</f>
        <v>Timber</v>
      </c>
      <c r="N92" s="34" t="n">
        <f aca="false">IF(M92="Timber",F92*VLOOKUP(D92,'Data - Items'!$A$4:$H$35,8,0),0)</f>
        <v>1.94646375</v>
      </c>
    </row>
    <row r="93" customFormat="false" ht="15" hidden="false" customHeight="false" outlineLevel="0" collapsed="false">
      <c r="A93" s="20" t="n">
        <v>11971</v>
      </c>
      <c r="B93" s="22" t="n">
        <v>46064</v>
      </c>
      <c r="C93" s="20" t="s">
        <v>171</v>
      </c>
      <c r="D93" s="20" t="s">
        <v>298</v>
      </c>
      <c r="E93" s="20" t="s">
        <v>299</v>
      </c>
      <c r="F93" s="20" t="n">
        <v>2</v>
      </c>
      <c r="G93" s="20" t="s">
        <v>300</v>
      </c>
      <c r="H93" s="21" t="n">
        <v>640</v>
      </c>
      <c r="I93" s="21" t="n">
        <v>1280</v>
      </c>
      <c r="J93" s="20"/>
      <c r="K93" s="23" t="s">
        <v>171</v>
      </c>
      <c r="L93" s="20" t="n">
        <f aca="false">VLOOKUP(K93,'Job Costing'!$A$5:$B$23,2,0)</f>
        <v>1600</v>
      </c>
      <c r="M93" s="20" t="str">
        <f aca="false">VLOOKUP(D93,'Data - Items'!$A$4:$I$35,9,0)</f>
        <v>Bubble wrap</v>
      </c>
      <c r="N93" s="34" t="n">
        <f aca="false">IF(M93="Timber",F93*VLOOKUP(D93,'Data - Items'!$A$4:$H$35,8,0),0)</f>
        <v>0</v>
      </c>
    </row>
    <row r="94" customFormat="false" ht="15" hidden="false" customHeight="false" outlineLevel="0" collapsed="false">
      <c r="A94" s="20" t="n">
        <v>11971</v>
      </c>
      <c r="B94" s="22" t="n">
        <v>46064</v>
      </c>
      <c r="C94" s="20" t="s">
        <v>171</v>
      </c>
      <c r="D94" s="20" t="s">
        <v>301</v>
      </c>
      <c r="E94" s="20" t="s">
        <v>302</v>
      </c>
      <c r="F94" s="20" t="n">
        <v>2</v>
      </c>
      <c r="G94" s="20" t="s">
        <v>303</v>
      </c>
      <c r="H94" s="21" t="n">
        <v>78</v>
      </c>
      <c r="I94" s="21" t="n">
        <v>156</v>
      </c>
      <c r="J94" s="20"/>
      <c r="K94" s="23" t="s">
        <v>171</v>
      </c>
      <c r="L94" s="20" t="n">
        <f aca="false">VLOOKUP(K94,'Job Costing'!$A$5:$B$23,2,0)</f>
        <v>1600</v>
      </c>
      <c r="M94" s="20" t="str">
        <f aca="false">VLOOKUP(D94,'Data - Items'!$A$4:$I$35,9,0)</f>
        <v>Gum tape</v>
      </c>
      <c r="N94" s="34" t="n">
        <f aca="false">IF(M94="Timber",F94*VLOOKUP(D94,'Data - Items'!$A$4:$H$35,8,0),0)</f>
        <v>0</v>
      </c>
    </row>
    <row r="95" customFormat="false" ht="15" hidden="false" customHeight="false" outlineLevel="0" collapsed="false">
      <c r="A95" s="20" t="n">
        <v>11971</v>
      </c>
      <c r="B95" s="22" t="n">
        <v>46064</v>
      </c>
      <c r="C95" s="20" t="s">
        <v>171</v>
      </c>
      <c r="D95" s="20" t="s">
        <v>307</v>
      </c>
      <c r="E95" s="20" t="s">
        <v>308</v>
      </c>
      <c r="F95" s="20" t="n">
        <v>1</v>
      </c>
      <c r="G95" s="20" t="s">
        <v>300</v>
      </c>
      <c r="H95" s="21" t="n">
        <v>2100</v>
      </c>
      <c r="I95" s="21" t="n">
        <v>2100</v>
      </c>
      <c r="J95" s="20"/>
      <c r="K95" s="23" t="s">
        <v>171</v>
      </c>
      <c r="L95" s="20" t="n">
        <f aca="false">VLOOKUP(K95,'Job Costing'!$A$5:$B$23,2,0)</f>
        <v>1600</v>
      </c>
      <c r="M95" s="20" t="str">
        <f aca="false">VLOOKUP(D95,'Data - Items'!$A$4:$I$35,9,0)</f>
        <v>Foam</v>
      </c>
      <c r="N95" s="34" t="n">
        <f aca="false">IF(M95="Timber",F95*VLOOKUP(D95,'Data - Items'!$A$4:$H$35,8,0),0)</f>
        <v>0</v>
      </c>
    </row>
    <row r="96" customFormat="false" ht="15" hidden="false" customHeight="false" outlineLevel="0" collapsed="false">
      <c r="A96" s="20" t="n">
        <v>11971</v>
      </c>
      <c r="B96" s="22" t="n">
        <v>46064</v>
      </c>
      <c r="C96" s="20" t="s">
        <v>171</v>
      </c>
      <c r="D96" s="20" t="s">
        <v>309</v>
      </c>
      <c r="E96" s="20" t="s">
        <v>310</v>
      </c>
      <c r="F96" s="20" t="n">
        <v>3</v>
      </c>
      <c r="G96" s="20" t="s">
        <v>311</v>
      </c>
      <c r="H96" s="21" t="n">
        <v>90</v>
      </c>
      <c r="I96" s="21" t="n">
        <v>270</v>
      </c>
      <c r="J96" s="20"/>
      <c r="K96" s="23" t="s">
        <v>171</v>
      </c>
      <c r="L96" s="20" t="n">
        <f aca="false">VLOOKUP(K96,'Job Costing'!$A$5:$B$23,2,0)</f>
        <v>1600</v>
      </c>
      <c r="M96" s="20" t="str">
        <f aca="false">VLOOKUP(D96,'Data - Items'!$A$4:$I$35,9,0)</f>
        <v>Nails</v>
      </c>
      <c r="N96" s="34" t="n">
        <f aca="false">IF(M96="Timber",F96*VLOOKUP(D96,'Data - Items'!$A$4:$H$35,8,0),0)</f>
        <v>0</v>
      </c>
    </row>
    <row r="97" customFormat="false" ht="15" hidden="false" customHeight="false" outlineLevel="0" collapsed="false">
      <c r="A97" s="20" t="n">
        <v>11971</v>
      </c>
      <c r="B97" s="22" t="n">
        <v>46064</v>
      </c>
      <c r="C97" s="20" t="s">
        <v>171</v>
      </c>
      <c r="D97" s="20" t="s">
        <v>312</v>
      </c>
      <c r="E97" s="20" t="s">
        <v>313</v>
      </c>
      <c r="F97" s="20" t="n">
        <v>9</v>
      </c>
      <c r="G97" s="20" t="s">
        <v>303</v>
      </c>
      <c r="H97" s="21" t="n">
        <v>160</v>
      </c>
      <c r="I97" s="21" t="n">
        <v>1440</v>
      </c>
      <c r="J97" s="20"/>
      <c r="K97" s="23" t="s">
        <v>171</v>
      </c>
      <c r="L97" s="20" t="n">
        <f aca="false">VLOOKUP(K97,'Job Costing'!$A$5:$B$23,2,0)</f>
        <v>1600</v>
      </c>
      <c r="M97" s="20" t="str">
        <f aca="false">VLOOKUP(D97,'Data - Items'!$A$4:$I$35,9,0)</f>
        <v>Ply cover</v>
      </c>
      <c r="N97" s="34" t="n">
        <f aca="false">IF(M97="Timber",F97*VLOOKUP(D97,'Data - Items'!$A$4:$H$35,8,0),0)</f>
        <v>0</v>
      </c>
    </row>
    <row r="98" customFormat="false" ht="15" hidden="false" customHeight="false" outlineLevel="0" collapsed="false">
      <c r="A98" s="20" t="n">
        <v>11971</v>
      </c>
      <c r="B98" s="22" t="n">
        <v>46064</v>
      </c>
      <c r="C98" s="20" t="s">
        <v>171</v>
      </c>
      <c r="D98" s="20" t="s">
        <v>314</v>
      </c>
      <c r="E98" s="20" t="s">
        <v>315</v>
      </c>
      <c r="F98" s="20" t="n">
        <v>4</v>
      </c>
      <c r="G98" s="20" t="s">
        <v>303</v>
      </c>
      <c r="H98" s="21" t="n">
        <v>900</v>
      </c>
      <c r="I98" s="21" t="n">
        <v>3600</v>
      </c>
      <c r="J98" s="20"/>
      <c r="K98" s="23" t="s">
        <v>171</v>
      </c>
      <c r="L98" s="20" t="n">
        <f aca="false">VLOOKUP(K98,'Job Costing'!$A$5:$B$23,2,0)</f>
        <v>1600</v>
      </c>
      <c r="M98" s="20" t="str">
        <f aca="false">VLOOKUP(D98,'Data - Items'!$A$4:$I$35,9,0)</f>
        <v>Ratchet belt</v>
      </c>
      <c r="N98" s="34" t="n">
        <f aca="false">IF(M98="Timber",F98*VLOOKUP(D98,'Data - Items'!$A$4:$H$35,8,0),0)</f>
        <v>0</v>
      </c>
    </row>
    <row r="99" customFormat="false" ht="15" hidden="false" customHeight="false" outlineLevel="0" collapsed="false">
      <c r="A99" s="20" t="n">
        <v>11971</v>
      </c>
      <c r="B99" s="22" t="n">
        <v>46064</v>
      </c>
      <c r="C99" s="20" t="s">
        <v>171</v>
      </c>
      <c r="D99" s="20" t="s">
        <v>316</v>
      </c>
      <c r="E99" s="20" t="s">
        <v>317</v>
      </c>
      <c r="F99" s="20" t="n">
        <v>7.1</v>
      </c>
      <c r="G99" s="20" t="s">
        <v>318</v>
      </c>
      <c r="H99" s="21" t="n">
        <v>166</v>
      </c>
      <c r="I99" s="21" t="n">
        <v>1178.6</v>
      </c>
      <c r="J99" s="20"/>
      <c r="K99" s="23" t="s">
        <v>171</v>
      </c>
      <c r="L99" s="20" t="n">
        <f aca="false">VLOOKUP(K99,'Job Costing'!$A$5:$B$23,2,0)</f>
        <v>1600</v>
      </c>
      <c r="M99" s="20" t="str">
        <f aca="false">VLOOKUP(D99,'Data - Items'!$A$4:$I$35,9,0)</f>
        <v>Stretch film</v>
      </c>
      <c r="N99" s="34" t="n">
        <f aca="false">IF(M99="Timber",F99*VLOOKUP(D99,'Data - Items'!$A$4:$H$35,8,0),0)</f>
        <v>0</v>
      </c>
    </row>
    <row r="100" customFormat="false" ht="15" hidden="false" customHeight="false" outlineLevel="0" collapsed="false">
      <c r="A100" s="20" t="n">
        <v>11971</v>
      </c>
      <c r="B100" s="22" t="n">
        <v>46064</v>
      </c>
      <c r="C100" s="20" t="s">
        <v>171</v>
      </c>
      <c r="D100" s="20" t="s">
        <v>338</v>
      </c>
      <c r="E100" s="20" t="s">
        <v>208</v>
      </c>
      <c r="F100" s="20" t="n">
        <v>10</v>
      </c>
      <c r="G100" s="20" t="s">
        <v>303</v>
      </c>
      <c r="H100" s="21" t="n">
        <v>266.98</v>
      </c>
      <c r="I100" s="21" t="n">
        <v>2669.8</v>
      </c>
      <c r="J100" s="20"/>
      <c r="K100" s="23" t="s">
        <v>171</v>
      </c>
      <c r="L100" s="20" t="n">
        <f aca="false">VLOOKUP(K100,'Job Costing'!$A$5:$B$23,2,0)</f>
        <v>1600</v>
      </c>
      <c r="M100" s="20" t="str">
        <f aca="false">VLOOKUP(D100,'Data - Items'!$A$4:$I$35,9,0)</f>
        <v>Timber</v>
      </c>
      <c r="N100" s="34" t="n">
        <f aca="false">IF(M100="Timber",F100*VLOOKUP(D100,'Data - Items'!$A$4:$H$35,8,0),0)</f>
        <v>3.70755</v>
      </c>
    </row>
    <row r="101" customFormat="false" ht="15" hidden="false" customHeight="false" outlineLevel="0" collapsed="false">
      <c r="A101" s="20" t="n">
        <v>11971</v>
      </c>
      <c r="B101" s="22" t="n">
        <v>46064</v>
      </c>
      <c r="C101" s="20" t="s">
        <v>171</v>
      </c>
      <c r="D101" s="20" t="s">
        <v>320</v>
      </c>
      <c r="E101" s="20" t="s">
        <v>204</v>
      </c>
      <c r="F101" s="20" t="n">
        <v>12</v>
      </c>
      <c r="G101" s="20" t="s">
        <v>303</v>
      </c>
      <c r="H101" s="21" t="n">
        <v>19.07</v>
      </c>
      <c r="I101" s="21" t="n">
        <v>228.84</v>
      </c>
      <c r="J101" s="20"/>
      <c r="K101" s="23" t="s">
        <v>171</v>
      </c>
      <c r="L101" s="20" t="n">
        <f aca="false">VLOOKUP(K101,'Job Costing'!$A$5:$B$23,2,0)</f>
        <v>1600</v>
      </c>
      <c r="M101" s="20" t="str">
        <f aca="false">VLOOKUP(D101,'Data - Items'!$A$4:$I$35,9,0)</f>
        <v>Timber</v>
      </c>
      <c r="N101" s="34" t="n">
        <f aca="false">IF(M101="Timber",F101*VLOOKUP(D101,'Data - Items'!$A$4:$H$35,8,0),0)</f>
        <v>0.31779</v>
      </c>
    </row>
    <row r="102" customFormat="false" ht="15" hidden="false" customHeight="false" outlineLevel="0" collapsed="false">
      <c r="A102" s="20" t="n">
        <v>11971</v>
      </c>
      <c r="B102" s="22" t="n">
        <v>46064</v>
      </c>
      <c r="C102" s="20" t="s">
        <v>171</v>
      </c>
      <c r="D102" s="20" t="s">
        <v>328</v>
      </c>
      <c r="E102" s="20" t="s">
        <v>205</v>
      </c>
      <c r="F102" s="20" t="n">
        <v>11</v>
      </c>
      <c r="G102" s="20" t="s">
        <v>303</v>
      </c>
      <c r="H102" s="21" t="n">
        <v>171.63</v>
      </c>
      <c r="I102" s="21" t="n">
        <v>1887.93</v>
      </c>
      <c r="J102" s="20"/>
      <c r="K102" s="23" t="s">
        <v>171</v>
      </c>
      <c r="L102" s="20" t="n">
        <f aca="false">VLOOKUP(K102,'Job Costing'!$A$5:$B$23,2,0)</f>
        <v>1600</v>
      </c>
      <c r="M102" s="20" t="str">
        <f aca="false">VLOOKUP(D102,'Data - Items'!$A$4:$I$35,9,0)</f>
        <v>Timber</v>
      </c>
      <c r="N102" s="34" t="n">
        <f aca="false">IF(M102="Timber",F102*VLOOKUP(D102,'Data - Items'!$A$4:$H$35,8,0),0)</f>
        <v>2.6217675</v>
      </c>
    </row>
    <row r="103" customFormat="false" ht="15" hidden="false" customHeight="false" outlineLevel="0" collapsed="false">
      <c r="A103" s="20" t="n">
        <v>11971</v>
      </c>
      <c r="B103" s="22" t="n">
        <v>46064</v>
      </c>
      <c r="C103" s="20" t="s">
        <v>171</v>
      </c>
      <c r="D103" s="20" t="s">
        <v>339</v>
      </c>
      <c r="E103" s="20" t="s">
        <v>209</v>
      </c>
      <c r="F103" s="20" t="n">
        <v>4</v>
      </c>
      <c r="G103" s="20" t="s">
        <v>303</v>
      </c>
      <c r="H103" s="21" t="n">
        <v>300.35</v>
      </c>
      <c r="I103" s="21" t="n">
        <v>1201.4</v>
      </c>
      <c r="J103" s="20"/>
      <c r="K103" s="23" t="s">
        <v>171</v>
      </c>
      <c r="L103" s="20" t="n">
        <f aca="false">VLOOKUP(K103,'Job Costing'!$A$5:$B$23,2,0)</f>
        <v>1600</v>
      </c>
      <c r="M103" s="20" t="str">
        <f aca="false">VLOOKUP(D103,'Data - Items'!$A$4:$I$35,9,0)</f>
        <v>Timber</v>
      </c>
      <c r="N103" s="34" t="n">
        <f aca="false">IF(M103="Timber",F103*VLOOKUP(D103,'Data - Items'!$A$4:$H$35,8,0),0)</f>
        <v>1.6683975</v>
      </c>
    </row>
    <row r="104" customFormat="false" ht="15" hidden="false" customHeight="false" outlineLevel="0" collapsed="false">
      <c r="A104" s="20" t="n">
        <v>11971</v>
      </c>
      <c r="B104" s="22" t="n">
        <v>46064</v>
      </c>
      <c r="C104" s="20" t="s">
        <v>171</v>
      </c>
      <c r="D104" s="20" t="s">
        <v>340</v>
      </c>
      <c r="E104" s="20" t="s">
        <v>210</v>
      </c>
      <c r="F104" s="20" t="n">
        <v>8</v>
      </c>
      <c r="G104" s="20" t="s">
        <v>303</v>
      </c>
      <c r="H104" s="21" t="n">
        <v>758.03</v>
      </c>
      <c r="I104" s="21" t="n">
        <v>6064.24</v>
      </c>
      <c r="J104" s="20"/>
      <c r="K104" s="23" t="s">
        <v>171</v>
      </c>
      <c r="L104" s="20" t="n">
        <f aca="false">VLOOKUP(K104,'Job Costing'!$A$5:$B$23,2,0)</f>
        <v>1600</v>
      </c>
      <c r="M104" s="20" t="str">
        <f aca="false">VLOOKUP(D104,'Data - Items'!$A$4:$I$35,9,0)</f>
        <v>Timber</v>
      </c>
      <c r="N104" s="34" t="n">
        <f aca="false">IF(M104="Timber",F104*VLOOKUP(D104,'Data - Items'!$A$4:$H$35,8,0),0)</f>
        <v>8.421435</v>
      </c>
    </row>
    <row r="105" customFormat="false" ht="15" hidden="false" customHeight="false" outlineLevel="0" collapsed="false">
      <c r="A105" s="20" t="n">
        <v>11994</v>
      </c>
      <c r="B105" s="22" t="n">
        <v>46071</v>
      </c>
      <c r="C105" s="20" t="s">
        <v>172</v>
      </c>
      <c r="D105" s="20" t="s">
        <v>298</v>
      </c>
      <c r="E105" s="20" t="s">
        <v>299</v>
      </c>
      <c r="F105" s="20" t="n">
        <v>2</v>
      </c>
      <c r="G105" s="20" t="s">
        <v>300</v>
      </c>
      <c r="H105" s="21" t="n">
        <v>640</v>
      </c>
      <c r="I105" s="21" t="n">
        <v>1280</v>
      </c>
      <c r="J105" s="20"/>
      <c r="K105" s="23" t="s">
        <v>172</v>
      </c>
      <c r="L105" s="20" t="n">
        <f aca="false">VLOOKUP(K105,'Job Costing'!$A$5:$B$23,2,0)</f>
        <v>1800</v>
      </c>
      <c r="M105" s="20" t="str">
        <f aca="false">VLOOKUP(D105,'Data - Items'!$A$4:$I$35,9,0)</f>
        <v>Bubble wrap</v>
      </c>
      <c r="N105" s="34" t="n">
        <f aca="false">IF(M105="Timber",F105*VLOOKUP(D105,'Data - Items'!$A$4:$H$35,8,0),0)</f>
        <v>0</v>
      </c>
    </row>
    <row r="106" customFormat="false" ht="15" hidden="false" customHeight="false" outlineLevel="0" collapsed="false">
      <c r="A106" s="20" t="n">
        <v>11994</v>
      </c>
      <c r="B106" s="22" t="n">
        <v>46071</v>
      </c>
      <c r="C106" s="20" t="s">
        <v>172</v>
      </c>
      <c r="D106" s="20" t="s">
        <v>301</v>
      </c>
      <c r="E106" s="20" t="s">
        <v>302</v>
      </c>
      <c r="F106" s="20" t="n">
        <v>2</v>
      </c>
      <c r="G106" s="20" t="s">
        <v>303</v>
      </c>
      <c r="H106" s="21" t="n">
        <v>78</v>
      </c>
      <c r="I106" s="21" t="n">
        <v>156</v>
      </c>
      <c r="J106" s="20"/>
      <c r="K106" s="23" t="s">
        <v>172</v>
      </c>
      <c r="L106" s="20" t="n">
        <f aca="false">VLOOKUP(K106,'Job Costing'!$A$5:$B$23,2,0)</f>
        <v>1800</v>
      </c>
      <c r="M106" s="20" t="str">
        <f aca="false">VLOOKUP(D106,'Data - Items'!$A$4:$I$35,9,0)</f>
        <v>Gum tape</v>
      </c>
      <c r="N106" s="34" t="n">
        <f aca="false">IF(M106="Timber",F106*VLOOKUP(D106,'Data - Items'!$A$4:$H$35,8,0),0)</f>
        <v>0</v>
      </c>
    </row>
    <row r="107" customFormat="false" ht="15" hidden="false" customHeight="false" outlineLevel="0" collapsed="false">
      <c r="A107" s="20" t="n">
        <v>11994</v>
      </c>
      <c r="B107" s="22" t="n">
        <v>46071</v>
      </c>
      <c r="C107" s="20" t="s">
        <v>172</v>
      </c>
      <c r="D107" s="20" t="s">
        <v>307</v>
      </c>
      <c r="E107" s="20" t="s">
        <v>308</v>
      </c>
      <c r="F107" s="20" t="n">
        <v>1</v>
      </c>
      <c r="G107" s="20" t="s">
        <v>300</v>
      </c>
      <c r="H107" s="21" t="n">
        <v>2100</v>
      </c>
      <c r="I107" s="21" t="n">
        <v>2100</v>
      </c>
      <c r="J107" s="20"/>
      <c r="K107" s="23" t="s">
        <v>172</v>
      </c>
      <c r="L107" s="20" t="n">
        <f aca="false">VLOOKUP(K107,'Job Costing'!$A$5:$B$23,2,0)</f>
        <v>1800</v>
      </c>
      <c r="M107" s="20" t="str">
        <f aca="false">VLOOKUP(D107,'Data - Items'!$A$4:$I$35,9,0)</f>
        <v>Foam</v>
      </c>
      <c r="N107" s="34" t="n">
        <f aca="false">IF(M107="Timber",F107*VLOOKUP(D107,'Data - Items'!$A$4:$H$35,8,0),0)</f>
        <v>0</v>
      </c>
    </row>
    <row r="108" customFormat="false" ht="15" hidden="false" customHeight="false" outlineLevel="0" collapsed="false">
      <c r="A108" s="20" t="n">
        <v>11994</v>
      </c>
      <c r="B108" s="22" t="n">
        <v>46071</v>
      </c>
      <c r="C108" s="20" t="s">
        <v>172</v>
      </c>
      <c r="D108" s="20" t="s">
        <v>309</v>
      </c>
      <c r="E108" s="20" t="s">
        <v>310</v>
      </c>
      <c r="F108" s="20" t="n">
        <v>3</v>
      </c>
      <c r="G108" s="20" t="s">
        <v>311</v>
      </c>
      <c r="H108" s="21" t="n">
        <v>90</v>
      </c>
      <c r="I108" s="21" t="n">
        <v>270</v>
      </c>
      <c r="J108" s="20"/>
      <c r="K108" s="23" t="s">
        <v>172</v>
      </c>
      <c r="L108" s="20" t="n">
        <f aca="false">VLOOKUP(K108,'Job Costing'!$A$5:$B$23,2,0)</f>
        <v>1800</v>
      </c>
      <c r="M108" s="20" t="str">
        <f aca="false">VLOOKUP(D108,'Data - Items'!$A$4:$I$35,9,0)</f>
        <v>Nails</v>
      </c>
      <c r="N108" s="34" t="n">
        <f aca="false">IF(M108="Timber",F108*VLOOKUP(D108,'Data - Items'!$A$4:$H$35,8,0),0)</f>
        <v>0</v>
      </c>
    </row>
    <row r="109" customFormat="false" ht="15" hidden="false" customHeight="false" outlineLevel="0" collapsed="false">
      <c r="A109" s="20" t="n">
        <v>11994</v>
      </c>
      <c r="B109" s="22" t="n">
        <v>46071</v>
      </c>
      <c r="C109" s="20" t="s">
        <v>172</v>
      </c>
      <c r="D109" s="20" t="s">
        <v>312</v>
      </c>
      <c r="E109" s="20" t="s">
        <v>313</v>
      </c>
      <c r="F109" s="20" t="n">
        <v>12</v>
      </c>
      <c r="G109" s="20" t="s">
        <v>303</v>
      </c>
      <c r="H109" s="21" t="n">
        <v>160</v>
      </c>
      <c r="I109" s="21" t="n">
        <v>1920</v>
      </c>
      <c r="J109" s="20"/>
      <c r="K109" s="23" t="s">
        <v>172</v>
      </c>
      <c r="L109" s="20" t="n">
        <f aca="false">VLOOKUP(K109,'Job Costing'!$A$5:$B$23,2,0)</f>
        <v>1800</v>
      </c>
      <c r="M109" s="20" t="str">
        <f aca="false">VLOOKUP(D109,'Data - Items'!$A$4:$I$35,9,0)</f>
        <v>Ply cover</v>
      </c>
      <c r="N109" s="34" t="n">
        <f aca="false">IF(M109="Timber",F109*VLOOKUP(D109,'Data - Items'!$A$4:$H$35,8,0),0)</f>
        <v>0</v>
      </c>
    </row>
    <row r="110" customFormat="false" ht="15" hidden="false" customHeight="false" outlineLevel="0" collapsed="false">
      <c r="A110" s="20" t="n">
        <v>11994</v>
      </c>
      <c r="B110" s="22" t="n">
        <v>46071</v>
      </c>
      <c r="C110" s="20" t="s">
        <v>172</v>
      </c>
      <c r="D110" s="20" t="s">
        <v>314</v>
      </c>
      <c r="E110" s="20" t="s">
        <v>315</v>
      </c>
      <c r="F110" s="20" t="n">
        <v>4</v>
      </c>
      <c r="G110" s="20" t="s">
        <v>303</v>
      </c>
      <c r="H110" s="21" t="n">
        <v>900</v>
      </c>
      <c r="I110" s="21" t="n">
        <v>3600</v>
      </c>
      <c r="J110" s="20"/>
      <c r="K110" s="23" t="s">
        <v>172</v>
      </c>
      <c r="L110" s="20" t="n">
        <f aca="false">VLOOKUP(K110,'Job Costing'!$A$5:$B$23,2,0)</f>
        <v>1800</v>
      </c>
      <c r="M110" s="20" t="str">
        <f aca="false">VLOOKUP(D110,'Data - Items'!$A$4:$I$35,9,0)</f>
        <v>Ratchet belt</v>
      </c>
      <c r="N110" s="34" t="n">
        <f aca="false">IF(M110="Timber",F110*VLOOKUP(D110,'Data - Items'!$A$4:$H$35,8,0),0)</f>
        <v>0</v>
      </c>
    </row>
    <row r="111" customFormat="false" ht="15" hidden="false" customHeight="false" outlineLevel="0" collapsed="false">
      <c r="A111" s="20" t="n">
        <v>11994</v>
      </c>
      <c r="B111" s="22" t="n">
        <v>46071</v>
      </c>
      <c r="C111" s="20" t="s">
        <v>172</v>
      </c>
      <c r="D111" s="20" t="s">
        <v>316</v>
      </c>
      <c r="E111" s="20" t="s">
        <v>317</v>
      </c>
      <c r="F111" s="20" t="n">
        <v>6.7</v>
      </c>
      <c r="G111" s="20" t="s">
        <v>318</v>
      </c>
      <c r="H111" s="21" t="n">
        <v>166</v>
      </c>
      <c r="I111" s="21" t="n">
        <v>1112.2</v>
      </c>
      <c r="J111" s="20"/>
      <c r="K111" s="23" t="s">
        <v>172</v>
      </c>
      <c r="L111" s="20" t="n">
        <f aca="false">VLOOKUP(K111,'Job Costing'!$A$5:$B$23,2,0)</f>
        <v>1800</v>
      </c>
      <c r="M111" s="20" t="str">
        <f aca="false">VLOOKUP(D111,'Data - Items'!$A$4:$I$35,9,0)</f>
        <v>Stretch film</v>
      </c>
      <c r="N111" s="34" t="n">
        <f aca="false">IF(M111="Timber",F111*VLOOKUP(D111,'Data - Items'!$A$4:$H$35,8,0),0)</f>
        <v>0</v>
      </c>
    </row>
    <row r="112" customFormat="false" ht="15" hidden="false" customHeight="false" outlineLevel="0" collapsed="false">
      <c r="A112" s="20" t="n">
        <v>11994</v>
      </c>
      <c r="B112" s="22" t="n">
        <v>46071</v>
      </c>
      <c r="C112" s="20" t="s">
        <v>172</v>
      </c>
      <c r="D112" s="20" t="s">
        <v>327</v>
      </c>
      <c r="E112" s="20" t="s">
        <v>211</v>
      </c>
      <c r="F112" s="20" t="n">
        <v>6</v>
      </c>
      <c r="G112" s="20" t="s">
        <v>303</v>
      </c>
      <c r="H112" s="21" t="n">
        <v>292.41</v>
      </c>
      <c r="I112" s="21" t="n">
        <v>1754.46</v>
      </c>
      <c r="J112" s="20"/>
      <c r="K112" s="23" t="s">
        <v>172</v>
      </c>
      <c r="L112" s="20" t="n">
        <f aca="false">VLOOKUP(K112,'Job Costing'!$A$5:$B$23,2,0)</f>
        <v>1800</v>
      </c>
      <c r="M112" s="20" t="str">
        <f aca="false">VLOOKUP(D112,'Data - Items'!$A$4:$I$35,9,0)</f>
        <v>Timber</v>
      </c>
      <c r="N112" s="34" t="n">
        <f aca="false">IF(M112="Timber",F112*VLOOKUP(D112,'Data - Items'!$A$4:$H$35,8,0),0)</f>
        <v>2.43639</v>
      </c>
    </row>
    <row r="113" customFormat="false" ht="15" hidden="false" customHeight="false" outlineLevel="0" collapsed="false">
      <c r="A113" s="20" t="n">
        <v>11994</v>
      </c>
      <c r="B113" s="22" t="n">
        <v>46071</v>
      </c>
      <c r="C113" s="20" t="s">
        <v>172</v>
      </c>
      <c r="D113" s="20" t="s">
        <v>320</v>
      </c>
      <c r="E113" s="20" t="s">
        <v>204</v>
      </c>
      <c r="F113" s="20" t="n">
        <v>9</v>
      </c>
      <c r="G113" s="20" t="s">
        <v>303</v>
      </c>
      <c r="H113" s="21" t="n">
        <v>19.07</v>
      </c>
      <c r="I113" s="21" t="n">
        <v>171.63</v>
      </c>
      <c r="J113" s="20"/>
      <c r="K113" s="23" t="s">
        <v>172</v>
      </c>
      <c r="L113" s="20" t="n">
        <f aca="false">VLOOKUP(K113,'Job Costing'!$A$5:$B$23,2,0)</f>
        <v>1800</v>
      </c>
      <c r="M113" s="20" t="str">
        <f aca="false">VLOOKUP(D113,'Data - Items'!$A$4:$I$35,9,0)</f>
        <v>Timber</v>
      </c>
      <c r="N113" s="34" t="n">
        <f aca="false">IF(M113="Timber",F113*VLOOKUP(D113,'Data - Items'!$A$4:$H$35,8,0),0)</f>
        <v>0.2383425</v>
      </c>
    </row>
    <row r="114" customFormat="false" ht="15" hidden="false" customHeight="false" outlineLevel="0" collapsed="false">
      <c r="A114" s="20" t="n">
        <v>11994</v>
      </c>
      <c r="B114" s="22" t="n">
        <v>46071</v>
      </c>
      <c r="C114" s="20" t="s">
        <v>172</v>
      </c>
      <c r="D114" s="20" t="s">
        <v>328</v>
      </c>
      <c r="E114" s="20" t="s">
        <v>205</v>
      </c>
      <c r="F114" s="20" t="n">
        <v>7</v>
      </c>
      <c r="G114" s="20" t="s">
        <v>303</v>
      </c>
      <c r="H114" s="21" t="n">
        <v>171.63</v>
      </c>
      <c r="I114" s="21" t="n">
        <v>1201.41</v>
      </c>
      <c r="J114" s="20"/>
      <c r="K114" s="23" t="s">
        <v>172</v>
      </c>
      <c r="L114" s="20" t="n">
        <f aca="false">VLOOKUP(K114,'Job Costing'!$A$5:$B$23,2,0)</f>
        <v>1800</v>
      </c>
      <c r="M114" s="20" t="str">
        <f aca="false">VLOOKUP(D114,'Data - Items'!$A$4:$I$35,9,0)</f>
        <v>Timber</v>
      </c>
      <c r="N114" s="34" t="n">
        <f aca="false">IF(M114="Timber",F114*VLOOKUP(D114,'Data - Items'!$A$4:$H$35,8,0),0)</f>
        <v>1.6683975</v>
      </c>
    </row>
    <row r="115" customFormat="false" ht="15" hidden="false" customHeight="false" outlineLevel="0" collapsed="false">
      <c r="A115" s="20" t="n">
        <v>11994</v>
      </c>
      <c r="B115" s="22" t="n">
        <v>46071</v>
      </c>
      <c r="C115" s="20" t="s">
        <v>172</v>
      </c>
      <c r="D115" s="20" t="s">
        <v>329</v>
      </c>
      <c r="E115" s="20" t="s">
        <v>212</v>
      </c>
      <c r="F115" s="20" t="n">
        <v>5</v>
      </c>
      <c r="G115" s="20" t="s">
        <v>303</v>
      </c>
      <c r="H115" s="21" t="n">
        <v>328.96</v>
      </c>
      <c r="I115" s="21" t="n">
        <v>1644.8</v>
      </c>
      <c r="J115" s="20"/>
      <c r="K115" s="23" t="s">
        <v>172</v>
      </c>
      <c r="L115" s="20" t="n">
        <f aca="false">VLOOKUP(K115,'Job Costing'!$A$5:$B$23,2,0)</f>
        <v>1800</v>
      </c>
      <c r="M115" s="20" t="str">
        <f aca="false">VLOOKUP(D115,'Data - Items'!$A$4:$I$35,9,0)</f>
        <v>Timber</v>
      </c>
      <c r="N115" s="34" t="n">
        <f aca="false">IF(M115="Timber",F115*VLOOKUP(D115,'Data - Items'!$A$4:$H$35,8,0),0)</f>
        <v>2.284115625</v>
      </c>
    </row>
    <row r="116" customFormat="false" ht="15" hidden="false" customHeight="false" outlineLevel="0" collapsed="false">
      <c r="A116" s="20" t="n">
        <v>11994</v>
      </c>
      <c r="B116" s="22" t="n">
        <v>46071</v>
      </c>
      <c r="C116" s="20" t="s">
        <v>172</v>
      </c>
      <c r="D116" s="20" t="s">
        <v>330</v>
      </c>
      <c r="E116" s="20" t="s">
        <v>213</v>
      </c>
      <c r="F116" s="20" t="n">
        <v>7</v>
      </c>
      <c r="G116" s="20" t="s">
        <v>303</v>
      </c>
      <c r="H116" s="21" t="n">
        <v>815.24</v>
      </c>
      <c r="I116" s="21" t="n">
        <v>5706.68</v>
      </c>
      <c r="J116" s="20"/>
      <c r="K116" s="23" t="s">
        <v>172</v>
      </c>
      <c r="L116" s="20" t="n">
        <f aca="false">VLOOKUP(K116,'Job Costing'!$A$5:$B$23,2,0)</f>
        <v>1800</v>
      </c>
      <c r="M116" s="20" t="str">
        <f aca="false">VLOOKUP(D116,'Data - Items'!$A$4:$I$35,9,0)</f>
        <v>Timber</v>
      </c>
      <c r="N116" s="34" t="n">
        <f aca="false">IF(M116="Timber",F116*VLOOKUP(D116,'Data - Items'!$A$4:$H$35,8,0),0)</f>
        <v>7.924888125</v>
      </c>
    </row>
    <row r="117" customFormat="false" ht="15" hidden="false" customHeight="false" outlineLevel="0" collapsed="false">
      <c r="A117" s="20" t="n">
        <v>12014</v>
      </c>
      <c r="B117" s="22" t="n">
        <v>46078</v>
      </c>
      <c r="C117" s="20" t="s">
        <v>178</v>
      </c>
      <c r="D117" s="20" t="s">
        <v>298</v>
      </c>
      <c r="E117" s="20" t="s">
        <v>299</v>
      </c>
      <c r="F117" s="20" t="n">
        <v>3</v>
      </c>
      <c r="G117" s="20" t="s">
        <v>300</v>
      </c>
      <c r="H117" s="21" t="n">
        <v>640</v>
      </c>
      <c r="I117" s="21" t="n">
        <v>1920</v>
      </c>
      <c r="J117" s="20"/>
      <c r="K117" s="23" t="s">
        <v>178</v>
      </c>
      <c r="L117" s="20" t="n">
        <f aca="false">VLOOKUP(K117,'Job Costing'!$A$5:$B$23,2,0)</f>
        <v>3000</v>
      </c>
      <c r="M117" s="20" t="str">
        <f aca="false">VLOOKUP(D117,'Data - Items'!$A$4:$I$35,9,0)</f>
        <v>Bubble wrap</v>
      </c>
      <c r="N117" s="34" t="n">
        <f aca="false">IF(M117="Timber",F117*VLOOKUP(D117,'Data - Items'!$A$4:$H$35,8,0),0)</f>
        <v>0</v>
      </c>
    </row>
    <row r="118" customFormat="false" ht="15" hidden="false" customHeight="false" outlineLevel="0" collapsed="false">
      <c r="A118" s="20" t="n">
        <v>12014</v>
      </c>
      <c r="B118" s="22" t="n">
        <v>46078</v>
      </c>
      <c r="C118" s="20" t="s">
        <v>178</v>
      </c>
      <c r="D118" s="20" t="s">
        <v>301</v>
      </c>
      <c r="E118" s="20" t="s">
        <v>302</v>
      </c>
      <c r="F118" s="20" t="n">
        <v>3</v>
      </c>
      <c r="G118" s="20" t="s">
        <v>303</v>
      </c>
      <c r="H118" s="21" t="n">
        <v>78</v>
      </c>
      <c r="I118" s="21" t="n">
        <v>234</v>
      </c>
      <c r="J118" s="20"/>
      <c r="K118" s="23" t="s">
        <v>178</v>
      </c>
      <c r="L118" s="20" t="n">
        <f aca="false">VLOOKUP(K118,'Job Costing'!$A$5:$B$23,2,0)</f>
        <v>3000</v>
      </c>
      <c r="M118" s="20" t="str">
        <f aca="false">VLOOKUP(D118,'Data - Items'!$A$4:$I$35,9,0)</f>
        <v>Gum tape</v>
      </c>
      <c r="N118" s="34" t="n">
        <f aca="false">IF(M118="Timber",F118*VLOOKUP(D118,'Data - Items'!$A$4:$H$35,8,0),0)</f>
        <v>0</v>
      </c>
    </row>
    <row r="119" customFormat="false" ht="15" hidden="false" customHeight="false" outlineLevel="0" collapsed="false">
      <c r="A119" s="20" t="n">
        <v>12014</v>
      </c>
      <c r="B119" s="22" t="n">
        <v>46078</v>
      </c>
      <c r="C119" s="20" t="s">
        <v>178</v>
      </c>
      <c r="D119" s="20" t="s">
        <v>304</v>
      </c>
      <c r="E119" s="20" t="s">
        <v>305</v>
      </c>
      <c r="F119" s="20" t="n">
        <v>800</v>
      </c>
      <c r="G119" s="20" t="s">
        <v>306</v>
      </c>
      <c r="H119" s="21" t="n">
        <v>5</v>
      </c>
      <c r="I119" s="21" t="n">
        <v>4000</v>
      </c>
      <c r="J119" s="20"/>
      <c r="K119" s="23" t="s">
        <v>178</v>
      </c>
      <c r="L119" s="20" t="n">
        <f aca="false">VLOOKUP(K119,'Job Costing'!$A$5:$B$23,2,0)</f>
        <v>3000</v>
      </c>
      <c r="M119" s="20" t="str">
        <f aca="false">VLOOKUP(D119,'Data - Items'!$A$4:$I$35,9,0)</f>
        <v>Tarpaulin</v>
      </c>
      <c r="N119" s="34" t="n">
        <f aca="false">IF(M119="Timber",F119*VLOOKUP(D119,'Data - Items'!$A$4:$H$35,8,0),0)</f>
        <v>0</v>
      </c>
    </row>
    <row r="120" customFormat="false" ht="15" hidden="false" customHeight="false" outlineLevel="0" collapsed="false">
      <c r="A120" s="20" t="n">
        <v>12014</v>
      </c>
      <c r="B120" s="22" t="n">
        <v>46078</v>
      </c>
      <c r="C120" s="20" t="s">
        <v>178</v>
      </c>
      <c r="D120" s="20" t="s">
        <v>307</v>
      </c>
      <c r="E120" s="20" t="s">
        <v>308</v>
      </c>
      <c r="F120" s="20" t="n">
        <v>1</v>
      </c>
      <c r="G120" s="20" t="s">
        <v>300</v>
      </c>
      <c r="H120" s="21" t="n">
        <v>2100</v>
      </c>
      <c r="I120" s="21" t="n">
        <v>2100</v>
      </c>
      <c r="J120" s="20"/>
      <c r="K120" s="23" t="s">
        <v>178</v>
      </c>
      <c r="L120" s="20" t="n">
        <f aca="false">VLOOKUP(K120,'Job Costing'!$A$5:$B$23,2,0)</f>
        <v>3000</v>
      </c>
      <c r="M120" s="20" t="str">
        <f aca="false">VLOOKUP(D120,'Data - Items'!$A$4:$I$35,9,0)</f>
        <v>Foam</v>
      </c>
      <c r="N120" s="34" t="n">
        <f aca="false">IF(M120="Timber",F120*VLOOKUP(D120,'Data - Items'!$A$4:$H$35,8,0),0)</f>
        <v>0</v>
      </c>
    </row>
    <row r="121" customFormat="false" ht="15" hidden="false" customHeight="false" outlineLevel="0" collapsed="false">
      <c r="A121" s="20" t="n">
        <v>12014</v>
      </c>
      <c r="B121" s="22" t="n">
        <v>46078</v>
      </c>
      <c r="C121" s="20" t="s">
        <v>178</v>
      </c>
      <c r="D121" s="20" t="s">
        <v>309</v>
      </c>
      <c r="E121" s="20" t="s">
        <v>310</v>
      </c>
      <c r="F121" s="20" t="n">
        <v>3</v>
      </c>
      <c r="G121" s="20" t="s">
        <v>311</v>
      </c>
      <c r="H121" s="21" t="n">
        <v>90</v>
      </c>
      <c r="I121" s="21" t="n">
        <v>270</v>
      </c>
      <c r="J121" s="20"/>
      <c r="K121" s="23" t="s">
        <v>178</v>
      </c>
      <c r="L121" s="20" t="n">
        <f aca="false">VLOOKUP(K121,'Job Costing'!$A$5:$B$23,2,0)</f>
        <v>3000</v>
      </c>
      <c r="M121" s="20" t="str">
        <f aca="false">VLOOKUP(D121,'Data - Items'!$A$4:$I$35,9,0)</f>
        <v>Nails</v>
      </c>
      <c r="N121" s="34" t="n">
        <f aca="false">IF(M121="Timber",F121*VLOOKUP(D121,'Data - Items'!$A$4:$H$35,8,0),0)</f>
        <v>0</v>
      </c>
    </row>
    <row r="122" customFormat="false" ht="15" hidden="false" customHeight="false" outlineLevel="0" collapsed="false">
      <c r="A122" s="20" t="n">
        <v>12014</v>
      </c>
      <c r="B122" s="22" t="n">
        <v>46078</v>
      </c>
      <c r="C122" s="20" t="s">
        <v>178</v>
      </c>
      <c r="D122" s="20" t="s">
        <v>312</v>
      </c>
      <c r="E122" s="20" t="s">
        <v>313</v>
      </c>
      <c r="F122" s="20" t="n">
        <v>5</v>
      </c>
      <c r="G122" s="20" t="s">
        <v>303</v>
      </c>
      <c r="H122" s="21" t="n">
        <v>160</v>
      </c>
      <c r="I122" s="21" t="n">
        <v>800</v>
      </c>
      <c r="J122" s="20"/>
      <c r="K122" s="23" t="s">
        <v>178</v>
      </c>
      <c r="L122" s="20" t="n">
        <f aca="false">VLOOKUP(K122,'Job Costing'!$A$5:$B$23,2,0)</f>
        <v>3000</v>
      </c>
      <c r="M122" s="20" t="str">
        <f aca="false">VLOOKUP(D122,'Data - Items'!$A$4:$I$35,9,0)</f>
        <v>Ply cover</v>
      </c>
      <c r="N122" s="34" t="n">
        <f aca="false">IF(M122="Timber",F122*VLOOKUP(D122,'Data - Items'!$A$4:$H$35,8,0),0)</f>
        <v>0</v>
      </c>
    </row>
    <row r="123" customFormat="false" ht="15" hidden="false" customHeight="false" outlineLevel="0" collapsed="false">
      <c r="A123" s="20" t="n">
        <v>12014</v>
      </c>
      <c r="B123" s="22" t="n">
        <v>46078</v>
      </c>
      <c r="C123" s="20" t="s">
        <v>178</v>
      </c>
      <c r="D123" s="20" t="s">
        <v>314</v>
      </c>
      <c r="E123" s="20" t="s">
        <v>315</v>
      </c>
      <c r="F123" s="20" t="n">
        <v>4</v>
      </c>
      <c r="G123" s="20" t="s">
        <v>303</v>
      </c>
      <c r="H123" s="21" t="n">
        <v>900</v>
      </c>
      <c r="I123" s="21" t="n">
        <v>3600</v>
      </c>
      <c r="J123" s="20"/>
      <c r="K123" s="23" t="s">
        <v>178</v>
      </c>
      <c r="L123" s="20" t="n">
        <f aca="false">VLOOKUP(K123,'Job Costing'!$A$5:$B$23,2,0)</f>
        <v>3000</v>
      </c>
      <c r="M123" s="20" t="str">
        <f aca="false">VLOOKUP(D123,'Data - Items'!$A$4:$I$35,9,0)</f>
        <v>Ratchet belt</v>
      </c>
      <c r="N123" s="34" t="n">
        <f aca="false">IF(M123="Timber",F123*VLOOKUP(D123,'Data - Items'!$A$4:$H$35,8,0),0)</f>
        <v>0</v>
      </c>
    </row>
    <row r="124" customFormat="false" ht="15" hidden="false" customHeight="false" outlineLevel="0" collapsed="false">
      <c r="A124" s="20" t="n">
        <v>12014</v>
      </c>
      <c r="B124" s="22" t="n">
        <v>46078</v>
      </c>
      <c r="C124" s="20" t="s">
        <v>178</v>
      </c>
      <c r="D124" s="20" t="s">
        <v>316</v>
      </c>
      <c r="E124" s="20" t="s">
        <v>317</v>
      </c>
      <c r="F124" s="20" t="n">
        <v>10.6</v>
      </c>
      <c r="G124" s="20" t="s">
        <v>318</v>
      </c>
      <c r="H124" s="21" t="n">
        <v>166</v>
      </c>
      <c r="I124" s="21" t="n">
        <v>1759.6</v>
      </c>
      <c r="J124" s="20"/>
      <c r="K124" s="23" t="s">
        <v>178</v>
      </c>
      <c r="L124" s="20" t="n">
        <f aca="false">VLOOKUP(K124,'Job Costing'!$A$5:$B$23,2,0)</f>
        <v>3000</v>
      </c>
      <c r="M124" s="20" t="str">
        <f aca="false">VLOOKUP(D124,'Data - Items'!$A$4:$I$35,9,0)</f>
        <v>Stretch film</v>
      </c>
      <c r="N124" s="34" t="n">
        <f aca="false">IF(M124="Timber",F124*VLOOKUP(D124,'Data - Items'!$A$4:$H$35,8,0),0)</f>
        <v>0</v>
      </c>
    </row>
    <row r="125" customFormat="false" ht="15" hidden="false" customHeight="false" outlineLevel="0" collapsed="false">
      <c r="A125" s="20" t="n">
        <v>12014</v>
      </c>
      <c r="B125" s="22" t="n">
        <v>46078</v>
      </c>
      <c r="C125" s="20" t="s">
        <v>178</v>
      </c>
      <c r="D125" s="20" t="s">
        <v>341</v>
      </c>
      <c r="E125" s="20" t="s">
        <v>224</v>
      </c>
      <c r="F125" s="20" t="n">
        <v>8</v>
      </c>
      <c r="G125" s="20" t="s">
        <v>303</v>
      </c>
      <c r="H125" s="21" t="n">
        <v>495.82</v>
      </c>
      <c r="I125" s="21" t="n">
        <v>3966.56</v>
      </c>
      <c r="J125" s="20"/>
      <c r="K125" s="23" t="s">
        <v>178</v>
      </c>
      <c r="L125" s="20" t="n">
        <f aca="false">VLOOKUP(K125,'Job Costing'!$A$5:$B$23,2,0)</f>
        <v>3000</v>
      </c>
      <c r="M125" s="20" t="str">
        <f aca="false">VLOOKUP(D125,'Data - Items'!$A$4:$I$35,9,0)</f>
        <v>Timber</v>
      </c>
      <c r="N125" s="34" t="n">
        <f aca="false">IF(M125="Timber",F125*VLOOKUP(D125,'Data - Items'!$A$4:$H$35,8,0),0)</f>
        <v>5.50836</v>
      </c>
    </row>
    <row r="126" customFormat="false" ht="15" hidden="false" customHeight="false" outlineLevel="0" collapsed="false">
      <c r="A126" s="20" t="n">
        <v>12014</v>
      </c>
      <c r="B126" s="22" t="n">
        <v>46078</v>
      </c>
      <c r="C126" s="20" t="s">
        <v>178</v>
      </c>
      <c r="D126" s="20" t="s">
        <v>320</v>
      </c>
      <c r="E126" s="20" t="s">
        <v>204</v>
      </c>
      <c r="F126" s="20" t="n">
        <v>5</v>
      </c>
      <c r="G126" s="20" t="s">
        <v>303</v>
      </c>
      <c r="H126" s="21" t="n">
        <v>19.07</v>
      </c>
      <c r="I126" s="21" t="n">
        <v>95.35</v>
      </c>
      <c r="J126" s="20"/>
      <c r="K126" s="23" t="s">
        <v>178</v>
      </c>
      <c r="L126" s="20" t="n">
        <f aca="false">VLOOKUP(K126,'Job Costing'!$A$5:$B$23,2,0)</f>
        <v>3000</v>
      </c>
      <c r="M126" s="20" t="str">
        <f aca="false">VLOOKUP(D126,'Data - Items'!$A$4:$I$35,9,0)</f>
        <v>Timber</v>
      </c>
      <c r="N126" s="34" t="n">
        <f aca="false">IF(M126="Timber",F126*VLOOKUP(D126,'Data - Items'!$A$4:$H$35,8,0),0)</f>
        <v>0.1324125</v>
      </c>
    </row>
    <row r="127" customFormat="false" ht="15" hidden="false" customHeight="false" outlineLevel="0" collapsed="false">
      <c r="A127" s="20" t="n">
        <v>12014</v>
      </c>
      <c r="B127" s="22" t="n">
        <v>46078</v>
      </c>
      <c r="C127" s="20" t="s">
        <v>178</v>
      </c>
      <c r="D127" s="20" t="s">
        <v>342</v>
      </c>
      <c r="E127" s="20" t="s">
        <v>225</v>
      </c>
      <c r="F127" s="20" t="n">
        <v>3</v>
      </c>
      <c r="G127" s="20" t="s">
        <v>303</v>
      </c>
      <c r="H127" s="21" t="n">
        <v>557.8</v>
      </c>
      <c r="I127" s="21" t="n">
        <v>1673.4</v>
      </c>
      <c r="J127" s="20"/>
      <c r="K127" s="23" t="s">
        <v>178</v>
      </c>
      <c r="L127" s="20" t="n">
        <f aca="false">VLOOKUP(K127,'Job Costing'!$A$5:$B$23,2,0)</f>
        <v>3000</v>
      </c>
      <c r="M127" s="20" t="str">
        <f aca="false">VLOOKUP(D127,'Data - Items'!$A$4:$I$35,9,0)</f>
        <v>Timber</v>
      </c>
      <c r="N127" s="34" t="n">
        <f aca="false">IF(M127="Timber",F127*VLOOKUP(D127,'Data - Items'!$A$4:$H$35,8,0),0)</f>
        <v>2.323839375</v>
      </c>
    </row>
    <row r="128" customFormat="false" ht="15" hidden="false" customHeight="false" outlineLevel="0" collapsed="false">
      <c r="A128" s="20" t="n">
        <v>12014</v>
      </c>
      <c r="B128" s="22" t="n">
        <v>46078</v>
      </c>
      <c r="C128" s="20" t="s">
        <v>178</v>
      </c>
      <c r="D128" s="20" t="s">
        <v>343</v>
      </c>
      <c r="E128" s="20" t="s">
        <v>226</v>
      </c>
      <c r="F128" s="20" t="n">
        <v>4</v>
      </c>
      <c r="G128" s="20" t="s">
        <v>303</v>
      </c>
      <c r="H128" s="21" t="n">
        <v>1172.8</v>
      </c>
      <c r="I128" s="21" t="n">
        <v>4691.2</v>
      </c>
      <c r="J128" s="20"/>
      <c r="K128" s="23" t="s">
        <v>178</v>
      </c>
      <c r="L128" s="20" t="n">
        <f aca="false">VLOOKUP(K128,'Job Costing'!$A$5:$B$23,2,0)</f>
        <v>3000</v>
      </c>
      <c r="M128" s="20" t="str">
        <f aca="false">VLOOKUP(D128,'Data - Items'!$A$4:$I$35,9,0)</f>
        <v>Timber</v>
      </c>
      <c r="N128" s="34" t="n">
        <f aca="false">IF(M128="Timber",F128*VLOOKUP(D128,'Data - Items'!$A$4:$H$35,8,0),0)</f>
        <v>6.514695</v>
      </c>
    </row>
    <row r="129" customFormat="false" ht="15" hidden="false" customHeight="false" outlineLevel="0" collapsed="false">
      <c r="A129" s="20" t="n">
        <v>12014</v>
      </c>
      <c r="B129" s="22" t="n">
        <v>46078</v>
      </c>
      <c r="C129" s="20" t="s">
        <v>178</v>
      </c>
      <c r="D129" s="20" t="s">
        <v>323</v>
      </c>
      <c r="E129" s="20" t="s">
        <v>220</v>
      </c>
      <c r="F129" s="20" t="n">
        <v>6</v>
      </c>
      <c r="G129" s="20" t="s">
        <v>303</v>
      </c>
      <c r="H129" s="21" t="n">
        <v>406.83</v>
      </c>
      <c r="I129" s="21" t="n">
        <v>2440.98</v>
      </c>
      <c r="J129" s="20"/>
      <c r="K129" s="23" t="s">
        <v>178</v>
      </c>
      <c r="L129" s="20" t="n">
        <f aca="false">VLOOKUP(K129,'Job Costing'!$A$5:$B$23,2,0)</f>
        <v>3000</v>
      </c>
      <c r="M129" s="20" t="str">
        <f aca="false">VLOOKUP(D129,'Data - Items'!$A$4:$I$35,9,0)</f>
        <v>Timber</v>
      </c>
      <c r="N129" s="34" t="n">
        <f aca="false">IF(M129="Timber",F129*VLOOKUP(D129,'Data - Items'!$A$4:$H$35,8,0),0)</f>
        <v>3.38976</v>
      </c>
    </row>
    <row r="130" customFormat="false" ht="15" hidden="false" customHeight="false" outlineLevel="0" collapsed="false">
      <c r="A130" s="20" t="n">
        <v>12027</v>
      </c>
      <c r="B130" s="22" t="n">
        <v>46085</v>
      </c>
      <c r="C130" s="20" t="s">
        <v>173</v>
      </c>
      <c r="D130" s="20" t="s">
        <v>298</v>
      </c>
      <c r="E130" s="20" t="s">
        <v>299</v>
      </c>
      <c r="F130" s="20" t="n">
        <v>9</v>
      </c>
      <c r="G130" s="20" t="s">
        <v>300</v>
      </c>
      <c r="H130" s="21" t="n">
        <v>640</v>
      </c>
      <c r="I130" s="21" t="n">
        <v>5760</v>
      </c>
      <c r="J130" s="20"/>
      <c r="K130" s="23" t="s">
        <v>173</v>
      </c>
      <c r="L130" s="20" t="n">
        <f aca="false">VLOOKUP(K130,'Job Costing'!$A$5:$B$23,2,0)</f>
        <v>2400</v>
      </c>
      <c r="M130" s="20" t="str">
        <f aca="false">VLOOKUP(D130,'Data - Items'!$A$4:$I$35,9,0)</f>
        <v>Bubble wrap</v>
      </c>
      <c r="N130" s="34" t="n">
        <f aca="false">IF(M130="Timber",F130*VLOOKUP(D130,'Data - Items'!$A$4:$H$35,8,0),0)</f>
        <v>0</v>
      </c>
    </row>
    <row r="131" customFormat="false" ht="15" hidden="false" customHeight="false" outlineLevel="0" collapsed="false">
      <c r="A131" s="20" t="n">
        <v>12027</v>
      </c>
      <c r="B131" s="22" t="n">
        <v>46085</v>
      </c>
      <c r="C131" s="20" t="s">
        <v>173</v>
      </c>
      <c r="D131" s="20" t="s">
        <v>301</v>
      </c>
      <c r="E131" s="20" t="s">
        <v>302</v>
      </c>
      <c r="F131" s="20" t="n">
        <v>8</v>
      </c>
      <c r="G131" s="20" t="s">
        <v>303</v>
      </c>
      <c r="H131" s="21" t="n">
        <v>78</v>
      </c>
      <c r="I131" s="21" t="n">
        <v>624</v>
      </c>
      <c r="J131" s="20"/>
      <c r="K131" s="23" t="s">
        <v>173</v>
      </c>
      <c r="L131" s="20" t="n">
        <f aca="false">VLOOKUP(K131,'Job Costing'!$A$5:$B$23,2,0)</f>
        <v>2400</v>
      </c>
      <c r="M131" s="20" t="str">
        <f aca="false">VLOOKUP(D131,'Data - Items'!$A$4:$I$35,9,0)</f>
        <v>Gum tape</v>
      </c>
      <c r="N131" s="34" t="n">
        <f aca="false">IF(M131="Timber",F131*VLOOKUP(D131,'Data - Items'!$A$4:$H$35,8,0),0)</f>
        <v>0</v>
      </c>
    </row>
    <row r="132" customFormat="false" ht="15" hidden="false" customHeight="false" outlineLevel="0" collapsed="false">
      <c r="A132" s="20" t="n">
        <v>12027</v>
      </c>
      <c r="B132" s="22" t="n">
        <v>46085</v>
      </c>
      <c r="C132" s="20" t="s">
        <v>173</v>
      </c>
      <c r="D132" s="20" t="s">
        <v>304</v>
      </c>
      <c r="E132" s="20" t="s">
        <v>305</v>
      </c>
      <c r="F132" s="20" t="n">
        <v>2350</v>
      </c>
      <c r="G132" s="20" t="s">
        <v>306</v>
      </c>
      <c r="H132" s="21" t="n">
        <v>5</v>
      </c>
      <c r="I132" s="21" t="n">
        <v>11750</v>
      </c>
      <c r="J132" s="20"/>
      <c r="K132" s="23" t="s">
        <v>173</v>
      </c>
      <c r="L132" s="20" t="n">
        <f aca="false">VLOOKUP(K132,'Job Costing'!$A$5:$B$23,2,0)</f>
        <v>2400</v>
      </c>
      <c r="M132" s="20" t="str">
        <f aca="false">VLOOKUP(D132,'Data - Items'!$A$4:$I$35,9,0)</f>
        <v>Tarpaulin</v>
      </c>
      <c r="N132" s="34" t="n">
        <f aca="false">IF(M132="Timber",F132*VLOOKUP(D132,'Data - Items'!$A$4:$H$35,8,0),0)</f>
        <v>0</v>
      </c>
    </row>
    <row r="133" customFormat="false" ht="15" hidden="false" customHeight="false" outlineLevel="0" collapsed="false">
      <c r="A133" s="20" t="n">
        <v>12027</v>
      </c>
      <c r="B133" s="22" t="n">
        <v>46085</v>
      </c>
      <c r="C133" s="20" t="s">
        <v>173</v>
      </c>
      <c r="D133" s="20" t="s">
        <v>307</v>
      </c>
      <c r="E133" s="20" t="s">
        <v>308</v>
      </c>
      <c r="F133" s="20" t="n">
        <v>4</v>
      </c>
      <c r="G133" s="20" t="s">
        <v>300</v>
      </c>
      <c r="H133" s="21" t="n">
        <v>2100</v>
      </c>
      <c r="I133" s="21" t="n">
        <v>8400</v>
      </c>
      <c r="J133" s="20"/>
      <c r="K133" s="23" t="s">
        <v>173</v>
      </c>
      <c r="L133" s="20" t="n">
        <f aca="false">VLOOKUP(K133,'Job Costing'!$A$5:$B$23,2,0)</f>
        <v>2400</v>
      </c>
      <c r="M133" s="20" t="str">
        <f aca="false">VLOOKUP(D133,'Data - Items'!$A$4:$I$35,9,0)</f>
        <v>Foam</v>
      </c>
      <c r="N133" s="34" t="n">
        <f aca="false">IF(M133="Timber",F133*VLOOKUP(D133,'Data - Items'!$A$4:$H$35,8,0),0)</f>
        <v>0</v>
      </c>
    </row>
    <row r="134" customFormat="false" ht="15" hidden="false" customHeight="false" outlineLevel="0" collapsed="false">
      <c r="A134" s="20" t="n">
        <v>12027</v>
      </c>
      <c r="B134" s="22" t="n">
        <v>46085</v>
      </c>
      <c r="C134" s="20" t="s">
        <v>173</v>
      </c>
      <c r="D134" s="20" t="s">
        <v>309</v>
      </c>
      <c r="E134" s="20" t="s">
        <v>310</v>
      </c>
      <c r="F134" s="20" t="n">
        <v>12</v>
      </c>
      <c r="G134" s="20" t="s">
        <v>311</v>
      </c>
      <c r="H134" s="21" t="n">
        <v>90</v>
      </c>
      <c r="I134" s="21" t="n">
        <v>1080</v>
      </c>
      <c r="J134" s="20"/>
      <c r="K134" s="23" t="s">
        <v>173</v>
      </c>
      <c r="L134" s="20" t="n">
        <f aca="false">VLOOKUP(K134,'Job Costing'!$A$5:$B$23,2,0)</f>
        <v>2400</v>
      </c>
      <c r="M134" s="20" t="str">
        <f aca="false">VLOOKUP(D134,'Data - Items'!$A$4:$I$35,9,0)</f>
        <v>Nails</v>
      </c>
      <c r="N134" s="34" t="n">
        <f aca="false">IF(M134="Timber",F134*VLOOKUP(D134,'Data - Items'!$A$4:$H$35,8,0),0)</f>
        <v>0</v>
      </c>
    </row>
    <row r="135" customFormat="false" ht="15" hidden="false" customHeight="false" outlineLevel="0" collapsed="false">
      <c r="A135" s="20" t="n">
        <v>12027</v>
      </c>
      <c r="B135" s="22" t="n">
        <v>46085</v>
      </c>
      <c r="C135" s="20" t="s">
        <v>173</v>
      </c>
      <c r="D135" s="20" t="s">
        <v>312</v>
      </c>
      <c r="E135" s="20" t="s">
        <v>313</v>
      </c>
      <c r="F135" s="20" t="n">
        <v>33</v>
      </c>
      <c r="G135" s="20" t="s">
        <v>303</v>
      </c>
      <c r="H135" s="21" t="n">
        <v>160</v>
      </c>
      <c r="I135" s="21" t="n">
        <v>5280</v>
      </c>
      <c r="J135" s="20"/>
      <c r="K135" s="23" t="s">
        <v>173</v>
      </c>
      <c r="L135" s="20" t="n">
        <f aca="false">VLOOKUP(K135,'Job Costing'!$A$5:$B$23,2,0)</f>
        <v>2400</v>
      </c>
      <c r="M135" s="20" t="str">
        <f aca="false">VLOOKUP(D135,'Data - Items'!$A$4:$I$35,9,0)</f>
        <v>Ply cover</v>
      </c>
      <c r="N135" s="34" t="n">
        <f aca="false">IF(M135="Timber",F135*VLOOKUP(D135,'Data - Items'!$A$4:$H$35,8,0),0)</f>
        <v>0</v>
      </c>
    </row>
    <row r="136" customFormat="false" ht="15" hidden="false" customHeight="false" outlineLevel="0" collapsed="false">
      <c r="A136" s="20" t="n">
        <v>12027</v>
      </c>
      <c r="B136" s="22" t="n">
        <v>46085</v>
      </c>
      <c r="C136" s="20" t="s">
        <v>173</v>
      </c>
      <c r="D136" s="20" t="s">
        <v>314</v>
      </c>
      <c r="E136" s="20" t="s">
        <v>315</v>
      </c>
      <c r="F136" s="20" t="n">
        <v>13</v>
      </c>
      <c r="G136" s="20" t="s">
        <v>303</v>
      </c>
      <c r="H136" s="21" t="n">
        <v>900</v>
      </c>
      <c r="I136" s="21" t="n">
        <v>11700</v>
      </c>
      <c r="J136" s="20"/>
      <c r="K136" s="23" t="s">
        <v>173</v>
      </c>
      <c r="L136" s="20" t="n">
        <f aca="false">VLOOKUP(K136,'Job Costing'!$A$5:$B$23,2,0)</f>
        <v>2400</v>
      </c>
      <c r="M136" s="20" t="str">
        <f aca="false">VLOOKUP(D136,'Data - Items'!$A$4:$I$35,9,0)</f>
        <v>Ratchet belt</v>
      </c>
      <c r="N136" s="34" t="n">
        <f aca="false">IF(M136="Timber",F136*VLOOKUP(D136,'Data - Items'!$A$4:$H$35,8,0),0)</f>
        <v>0</v>
      </c>
    </row>
    <row r="137" customFormat="false" ht="15" hidden="false" customHeight="false" outlineLevel="0" collapsed="false">
      <c r="A137" s="20" t="n">
        <v>12027</v>
      </c>
      <c r="B137" s="22" t="n">
        <v>46085</v>
      </c>
      <c r="C137" s="20" t="s">
        <v>173</v>
      </c>
      <c r="D137" s="20" t="s">
        <v>316</v>
      </c>
      <c r="E137" s="20" t="s">
        <v>317</v>
      </c>
      <c r="F137" s="20" t="n">
        <v>21.9</v>
      </c>
      <c r="G137" s="20" t="s">
        <v>318</v>
      </c>
      <c r="H137" s="21" t="n">
        <v>166</v>
      </c>
      <c r="I137" s="21" t="n">
        <v>3635.4</v>
      </c>
      <c r="J137" s="20"/>
      <c r="K137" s="23" t="s">
        <v>173</v>
      </c>
      <c r="L137" s="20" t="n">
        <f aca="false">VLOOKUP(K137,'Job Costing'!$A$5:$B$23,2,0)</f>
        <v>2400</v>
      </c>
      <c r="M137" s="20" t="str">
        <f aca="false">VLOOKUP(D137,'Data - Items'!$A$4:$I$35,9,0)</f>
        <v>Stretch film</v>
      </c>
      <c r="N137" s="34" t="n">
        <f aca="false">IF(M137="Timber",F137*VLOOKUP(D137,'Data - Items'!$A$4:$H$35,8,0),0)</f>
        <v>0</v>
      </c>
    </row>
    <row r="138" customFormat="false" ht="15" hidden="false" customHeight="false" outlineLevel="0" collapsed="false">
      <c r="A138" s="20" t="n">
        <v>12027</v>
      </c>
      <c r="B138" s="22" t="n">
        <v>46085</v>
      </c>
      <c r="C138" s="20" t="s">
        <v>173</v>
      </c>
      <c r="D138" s="20" t="s">
        <v>324</v>
      </c>
      <c r="E138" s="20" t="s">
        <v>217</v>
      </c>
      <c r="F138" s="20" t="n">
        <v>32</v>
      </c>
      <c r="G138" s="20" t="s">
        <v>303</v>
      </c>
      <c r="H138" s="21" t="n">
        <v>394.11</v>
      </c>
      <c r="I138" s="21" t="n">
        <v>12611.52</v>
      </c>
      <c r="J138" s="20"/>
      <c r="K138" s="23" t="s">
        <v>173</v>
      </c>
      <c r="L138" s="20" t="n">
        <f aca="false">VLOOKUP(K138,'Job Costing'!$A$5:$B$23,2,0)</f>
        <v>2400</v>
      </c>
      <c r="M138" s="20" t="str">
        <f aca="false">VLOOKUP(D138,'Data - Items'!$A$4:$I$35,9,0)</f>
        <v>Timber</v>
      </c>
      <c r="N138" s="34" t="n">
        <f aca="false">IF(M138="Timber",F138*VLOOKUP(D138,'Data - Items'!$A$4:$H$35,8,0),0)</f>
        <v>17.51376</v>
      </c>
    </row>
    <row r="139" customFormat="false" ht="15" hidden="false" customHeight="false" outlineLevel="0" collapsed="false">
      <c r="A139" s="20" t="n">
        <v>12027</v>
      </c>
      <c r="B139" s="22" t="n">
        <v>46085</v>
      </c>
      <c r="C139" s="20" t="s">
        <v>173</v>
      </c>
      <c r="D139" s="20" t="s">
        <v>320</v>
      </c>
      <c r="E139" s="20" t="s">
        <v>204</v>
      </c>
      <c r="F139" s="20" t="n">
        <v>33</v>
      </c>
      <c r="G139" s="20" t="s">
        <v>303</v>
      </c>
      <c r="H139" s="21" t="n">
        <v>19.07</v>
      </c>
      <c r="I139" s="21" t="n">
        <v>629.31</v>
      </c>
      <c r="J139" s="20"/>
      <c r="K139" s="23" t="s">
        <v>173</v>
      </c>
      <c r="L139" s="20" t="n">
        <f aca="false">VLOOKUP(K139,'Job Costing'!$A$5:$B$23,2,0)</f>
        <v>2400</v>
      </c>
      <c r="M139" s="20" t="str">
        <f aca="false">VLOOKUP(D139,'Data - Items'!$A$4:$I$35,9,0)</f>
        <v>Timber</v>
      </c>
      <c r="N139" s="34" t="n">
        <f aca="false">IF(M139="Timber",F139*VLOOKUP(D139,'Data - Items'!$A$4:$H$35,8,0),0)</f>
        <v>0.8739225</v>
      </c>
    </row>
    <row r="140" customFormat="false" ht="15" hidden="false" customHeight="false" outlineLevel="0" collapsed="false">
      <c r="A140" s="20" t="n">
        <v>12027</v>
      </c>
      <c r="B140" s="22" t="n">
        <v>46085</v>
      </c>
      <c r="C140" s="20" t="s">
        <v>173</v>
      </c>
      <c r="D140" s="20" t="s">
        <v>325</v>
      </c>
      <c r="E140" s="20" t="s">
        <v>218</v>
      </c>
      <c r="F140" s="20" t="n">
        <v>19</v>
      </c>
      <c r="G140" s="20" t="s">
        <v>303</v>
      </c>
      <c r="H140" s="21" t="n">
        <v>443.38</v>
      </c>
      <c r="I140" s="21" t="n">
        <v>8424.22</v>
      </c>
      <c r="J140" s="20"/>
      <c r="K140" s="23" t="s">
        <v>173</v>
      </c>
      <c r="L140" s="20" t="n">
        <f aca="false">VLOOKUP(K140,'Job Costing'!$A$5:$B$23,2,0)</f>
        <v>2400</v>
      </c>
      <c r="M140" s="20" t="str">
        <f aca="false">VLOOKUP(D140,'Data - Items'!$A$4:$I$35,9,0)</f>
        <v>Timber</v>
      </c>
      <c r="N140" s="34" t="n">
        <f aca="false">IF(M140="Timber",F140*VLOOKUP(D140,'Data - Items'!$A$4:$H$35,8,0),0)</f>
        <v>11.698644375</v>
      </c>
    </row>
    <row r="141" customFormat="false" ht="15" hidden="false" customHeight="false" outlineLevel="0" collapsed="false">
      <c r="A141" s="20" t="n">
        <v>12027</v>
      </c>
      <c r="B141" s="22" t="n">
        <v>46085</v>
      </c>
      <c r="C141" s="20" t="s">
        <v>173</v>
      </c>
      <c r="D141" s="20" t="s">
        <v>326</v>
      </c>
      <c r="E141" s="20" t="s">
        <v>219</v>
      </c>
      <c r="F141" s="20" t="n">
        <v>25</v>
      </c>
      <c r="G141" s="20" t="s">
        <v>303</v>
      </c>
      <c r="H141" s="21" t="n">
        <v>1015.47</v>
      </c>
      <c r="I141" s="21" t="n">
        <v>25386.75</v>
      </c>
      <c r="J141" s="20"/>
      <c r="K141" s="23" t="s">
        <v>173</v>
      </c>
      <c r="L141" s="20" t="n">
        <f aca="false">VLOOKUP(K141,'Job Costing'!$A$5:$B$23,2,0)</f>
        <v>2400</v>
      </c>
      <c r="M141" s="20" t="str">
        <f aca="false">VLOOKUP(D141,'Data - Items'!$A$4:$I$35,9,0)</f>
        <v>Timber</v>
      </c>
      <c r="N141" s="34" t="n">
        <f aca="false">IF(M141="Timber",F141*VLOOKUP(D141,'Data - Items'!$A$4:$H$35,8,0),0)</f>
        <v>35.254828125</v>
      </c>
    </row>
    <row r="142" customFormat="false" ht="15" hidden="false" customHeight="false" outlineLevel="0" collapsed="false">
      <c r="A142" s="20" t="n">
        <v>12027</v>
      </c>
      <c r="B142" s="22" t="n">
        <v>46085</v>
      </c>
      <c r="C142" s="20" t="s">
        <v>173</v>
      </c>
      <c r="D142" s="20" t="s">
        <v>323</v>
      </c>
      <c r="E142" s="20" t="s">
        <v>220</v>
      </c>
      <c r="F142" s="20" t="n">
        <v>39</v>
      </c>
      <c r="G142" s="20" t="s">
        <v>303</v>
      </c>
      <c r="H142" s="21" t="n">
        <v>406.83</v>
      </c>
      <c r="I142" s="21" t="n">
        <v>15866.37</v>
      </c>
      <c r="J142" s="20"/>
      <c r="K142" s="23" t="s">
        <v>173</v>
      </c>
      <c r="L142" s="20" t="n">
        <f aca="false">VLOOKUP(K142,'Job Costing'!$A$5:$B$23,2,0)</f>
        <v>2400</v>
      </c>
      <c r="M142" s="20" t="str">
        <f aca="false">VLOOKUP(D142,'Data - Items'!$A$4:$I$35,9,0)</f>
        <v>Timber</v>
      </c>
      <c r="N142" s="34" t="n">
        <f aca="false">IF(M142="Timber",F142*VLOOKUP(D142,'Data - Items'!$A$4:$H$35,8,0),0)</f>
        <v>22.03344</v>
      </c>
    </row>
    <row r="143" customFormat="false" ht="15" hidden="false" customHeight="false" outlineLevel="0" collapsed="false">
      <c r="A143" s="20" t="n">
        <v>12045</v>
      </c>
      <c r="B143" s="22" t="n">
        <v>46099</v>
      </c>
      <c r="C143" s="20"/>
      <c r="D143" s="20" t="s">
        <v>298</v>
      </c>
      <c r="E143" s="20" t="s">
        <v>299</v>
      </c>
      <c r="F143" s="20" t="n">
        <v>4</v>
      </c>
      <c r="G143" s="20" t="s">
        <v>300</v>
      </c>
      <c r="H143" s="21" t="n">
        <v>680</v>
      </c>
      <c r="I143" s="21" t="n">
        <v>2720</v>
      </c>
      <c r="J143" s="20" t="s">
        <v>344</v>
      </c>
      <c r="K143" s="48" t="s">
        <v>174</v>
      </c>
      <c r="L143" s="20" t="n">
        <f aca="false">VLOOKUP(K143,'Job Costing'!$A$5:$B$23,2,0)</f>
        <v>2000</v>
      </c>
      <c r="M143" s="20" t="str">
        <f aca="false">VLOOKUP(D143,'Data - Items'!$A$4:$I$35,9,0)</f>
        <v>Bubble wrap</v>
      </c>
      <c r="N143" s="34" t="n">
        <f aca="false">IF(M143="Timber",F143*VLOOKUP(D143,'Data - Items'!$A$4:$H$35,8,0),0)</f>
        <v>0</v>
      </c>
    </row>
    <row r="144" customFormat="false" ht="15" hidden="false" customHeight="false" outlineLevel="0" collapsed="false">
      <c r="A144" s="20" t="n">
        <v>12045</v>
      </c>
      <c r="B144" s="22" t="n">
        <v>46099</v>
      </c>
      <c r="C144" s="20"/>
      <c r="D144" s="20" t="s">
        <v>301</v>
      </c>
      <c r="E144" s="20" t="s">
        <v>302</v>
      </c>
      <c r="F144" s="20" t="n">
        <v>5</v>
      </c>
      <c r="G144" s="20" t="s">
        <v>303</v>
      </c>
      <c r="H144" s="21" t="n">
        <v>78</v>
      </c>
      <c r="I144" s="21" t="n">
        <v>390</v>
      </c>
      <c r="J144" s="20" t="s">
        <v>344</v>
      </c>
      <c r="K144" s="48" t="s">
        <v>174</v>
      </c>
      <c r="L144" s="20" t="n">
        <f aca="false">VLOOKUP(K144,'Job Costing'!$A$5:$B$23,2,0)</f>
        <v>2000</v>
      </c>
      <c r="M144" s="20" t="str">
        <f aca="false">VLOOKUP(D144,'Data - Items'!$A$4:$I$35,9,0)</f>
        <v>Gum tape</v>
      </c>
      <c r="N144" s="34" t="n">
        <f aca="false">IF(M144="Timber",F144*VLOOKUP(D144,'Data - Items'!$A$4:$H$35,8,0),0)</f>
        <v>0</v>
      </c>
    </row>
    <row r="145" customFormat="false" ht="15" hidden="false" customHeight="false" outlineLevel="0" collapsed="false">
      <c r="A145" s="20" t="n">
        <v>12045</v>
      </c>
      <c r="B145" s="22" t="n">
        <v>46099</v>
      </c>
      <c r="C145" s="20"/>
      <c r="D145" s="20" t="s">
        <v>307</v>
      </c>
      <c r="E145" s="20" t="s">
        <v>308</v>
      </c>
      <c r="F145" s="20" t="n">
        <v>3</v>
      </c>
      <c r="G145" s="20" t="s">
        <v>300</v>
      </c>
      <c r="H145" s="21" t="n">
        <v>2100</v>
      </c>
      <c r="I145" s="21" t="n">
        <v>6300</v>
      </c>
      <c r="J145" s="20" t="s">
        <v>344</v>
      </c>
      <c r="K145" s="48" t="s">
        <v>174</v>
      </c>
      <c r="L145" s="20" t="n">
        <f aca="false">VLOOKUP(K145,'Job Costing'!$A$5:$B$23,2,0)</f>
        <v>2000</v>
      </c>
      <c r="M145" s="20" t="str">
        <f aca="false">VLOOKUP(D145,'Data - Items'!$A$4:$I$35,9,0)</f>
        <v>Foam</v>
      </c>
      <c r="N145" s="34" t="n">
        <f aca="false">IF(M145="Timber",F145*VLOOKUP(D145,'Data - Items'!$A$4:$H$35,8,0),0)</f>
        <v>0</v>
      </c>
    </row>
    <row r="146" customFormat="false" ht="15" hidden="false" customHeight="false" outlineLevel="0" collapsed="false">
      <c r="A146" s="20" t="n">
        <v>12045</v>
      </c>
      <c r="B146" s="22" t="n">
        <v>46099</v>
      </c>
      <c r="C146" s="20"/>
      <c r="D146" s="20" t="s">
        <v>309</v>
      </c>
      <c r="E146" s="20" t="s">
        <v>310</v>
      </c>
      <c r="F146" s="20" t="n">
        <v>6</v>
      </c>
      <c r="G146" s="20" t="s">
        <v>311</v>
      </c>
      <c r="H146" s="21" t="n">
        <v>90</v>
      </c>
      <c r="I146" s="21" t="n">
        <v>540</v>
      </c>
      <c r="J146" s="20" t="s">
        <v>344</v>
      </c>
      <c r="K146" s="48" t="s">
        <v>174</v>
      </c>
      <c r="L146" s="20" t="n">
        <f aca="false">VLOOKUP(K146,'Job Costing'!$A$5:$B$23,2,0)</f>
        <v>2000</v>
      </c>
      <c r="M146" s="20" t="str">
        <f aca="false">VLOOKUP(D146,'Data - Items'!$A$4:$I$35,9,0)</f>
        <v>Nails</v>
      </c>
      <c r="N146" s="34" t="n">
        <f aca="false">IF(M146="Timber",F146*VLOOKUP(D146,'Data - Items'!$A$4:$H$35,8,0),0)</f>
        <v>0</v>
      </c>
    </row>
    <row r="147" customFormat="false" ht="15" hidden="false" customHeight="false" outlineLevel="0" collapsed="false">
      <c r="A147" s="20" t="n">
        <v>12045</v>
      </c>
      <c r="B147" s="22" t="n">
        <v>46099</v>
      </c>
      <c r="C147" s="20"/>
      <c r="D147" s="20" t="s">
        <v>314</v>
      </c>
      <c r="E147" s="20" t="s">
        <v>315</v>
      </c>
      <c r="F147" s="20" t="n">
        <v>12</v>
      </c>
      <c r="G147" s="20" t="s">
        <v>303</v>
      </c>
      <c r="H147" s="21" t="n">
        <v>900</v>
      </c>
      <c r="I147" s="21" t="n">
        <v>10800</v>
      </c>
      <c r="J147" s="20" t="s">
        <v>344</v>
      </c>
      <c r="K147" s="48" t="s">
        <v>174</v>
      </c>
      <c r="L147" s="20" t="n">
        <f aca="false">VLOOKUP(K147,'Job Costing'!$A$5:$B$23,2,0)</f>
        <v>2000</v>
      </c>
      <c r="M147" s="20" t="str">
        <f aca="false">VLOOKUP(D147,'Data - Items'!$A$4:$I$35,9,0)</f>
        <v>Ratchet belt</v>
      </c>
      <c r="N147" s="34" t="n">
        <f aca="false">IF(M147="Timber",F147*VLOOKUP(D147,'Data - Items'!$A$4:$H$35,8,0),0)</f>
        <v>0</v>
      </c>
    </row>
    <row r="148" customFormat="false" ht="15" hidden="false" customHeight="false" outlineLevel="0" collapsed="false">
      <c r="A148" s="20" t="n">
        <v>12045</v>
      </c>
      <c r="B148" s="22" t="n">
        <v>46099</v>
      </c>
      <c r="C148" s="20"/>
      <c r="D148" s="20" t="s">
        <v>316</v>
      </c>
      <c r="E148" s="20" t="s">
        <v>317</v>
      </c>
      <c r="F148" s="20" t="n">
        <v>14.3</v>
      </c>
      <c r="G148" s="20" t="s">
        <v>318</v>
      </c>
      <c r="H148" s="21" t="n">
        <v>166</v>
      </c>
      <c r="I148" s="21" t="n">
        <v>2373.8</v>
      </c>
      <c r="J148" s="20" t="s">
        <v>344</v>
      </c>
      <c r="K148" s="48" t="s">
        <v>174</v>
      </c>
      <c r="L148" s="20" t="n">
        <f aca="false">VLOOKUP(K148,'Job Costing'!$A$5:$B$23,2,0)</f>
        <v>2000</v>
      </c>
      <c r="M148" s="20" t="str">
        <f aca="false">VLOOKUP(D148,'Data - Items'!$A$4:$I$35,9,0)</f>
        <v>Stretch film</v>
      </c>
      <c r="N148" s="34" t="n">
        <f aca="false">IF(M148="Timber",F148*VLOOKUP(D148,'Data - Items'!$A$4:$H$35,8,0),0)</f>
        <v>0</v>
      </c>
    </row>
    <row r="149" customFormat="false" ht="15" hidden="false" customHeight="false" outlineLevel="0" collapsed="false">
      <c r="A149" s="20" t="n">
        <v>12045</v>
      </c>
      <c r="B149" s="22" t="n">
        <v>46099</v>
      </c>
      <c r="C149" s="20"/>
      <c r="D149" s="20" t="s">
        <v>335</v>
      </c>
      <c r="E149" s="20" t="s">
        <v>214</v>
      </c>
      <c r="F149" s="20" t="n">
        <v>19</v>
      </c>
      <c r="G149" s="20" t="s">
        <v>303</v>
      </c>
      <c r="H149" s="21" t="n">
        <v>330.55</v>
      </c>
      <c r="I149" s="21" t="n">
        <v>6280.45</v>
      </c>
      <c r="J149" s="20" t="s">
        <v>344</v>
      </c>
      <c r="K149" s="48" t="s">
        <v>174</v>
      </c>
      <c r="L149" s="20" t="n">
        <f aca="false">VLOOKUP(K149,'Job Costing'!$A$5:$B$23,2,0)</f>
        <v>2000</v>
      </c>
      <c r="M149" s="20" t="str">
        <f aca="false">VLOOKUP(D149,'Data - Items'!$A$4:$I$35,9,0)</f>
        <v>Timber</v>
      </c>
      <c r="N149" s="34" t="n">
        <f aca="false">IF(M149="Timber",F149*VLOOKUP(D149,'Data - Items'!$A$4:$H$35,8,0),0)</f>
        <v>8.72157</v>
      </c>
    </row>
    <row r="150" customFormat="false" ht="15" hidden="false" customHeight="false" outlineLevel="0" collapsed="false">
      <c r="A150" s="20" t="n">
        <v>12045</v>
      </c>
      <c r="B150" s="22" t="n">
        <v>46099</v>
      </c>
      <c r="C150" s="20"/>
      <c r="D150" s="20" t="s">
        <v>320</v>
      </c>
      <c r="E150" s="20" t="s">
        <v>204</v>
      </c>
      <c r="F150" s="20" t="n">
        <v>20</v>
      </c>
      <c r="G150" s="20" t="s">
        <v>303</v>
      </c>
      <c r="H150" s="21" t="n">
        <v>19.07</v>
      </c>
      <c r="I150" s="21" t="n">
        <v>381.4</v>
      </c>
      <c r="J150" s="20" t="s">
        <v>344</v>
      </c>
      <c r="K150" s="48" t="s">
        <v>174</v>
      </c>
      <c r="L150" s="20" t="n">
        <f aca="false">VLOOKUP(K150,'Job Costing'!$A$5:$B$23,2,0)</f>
        <v>2000</v>
      </c>
      <c r="M150" s="20" t="str">
        <f aca="false">VLOOKUP(D150,'Data - Items'!$A$4:$I$35,9,0)</f>
        <v>Timber</v>
      </c>
      <c r="N150" s="34" t="n">
        <f aca="false">IF(M150="Timber",F150*VLOOKUP(D150,'Data - Items'!$A$4:$H$35,8,0),0)</f>
        <v>0.52965</v>
      </c>
    </row>
    <row r="151" customFormat="false" ht="15" hidden="false" customHeight="false" outlineLevel="0" collapsed="false">
      <c r="A151" s="20" t="n">
        <v>12045</v>
      </c>
      <c r="B151" s="22" t="n">
        <v>46099</v>
      </c>
      <c r="C151" s="20"/>
      <c r="D151" s="20" t="s">
        <v>328</v>
      </c>
      <c r="E151" s="20" t="s">
        <v>205</v>
      </c>
      <c r="F151" s="20" t="n">
        <v>23</v>
      </c>
      <c r="G151" s="20" t="s">
        <v>303</v>
      </c>
      <c r="H151" s="21" t="n">
        <v>171.63</v>
      </c>
      <c r="I151" s="21" t="n">
        <v>3947.49</v>
      </c>
      <c r="J151" s="20" t="s">
        <v>344</v>
      </c>
      <c r="K151" s="48" t="s">
        <v>174</v>
      </c>
      <c r="L151" s="20" t="n">
        <f aca="false">VLOOKUP(K151,'Job Costing'!$A$5:$B$23,2,0)</f>
        <v>2000</v>
      </c>
      <c r="M151" s="20" t="str">
        <f aca="false">VLOOKUP(D151,'Data - Items'!$A$4:$I$35,9,0)</f>
        <v>Timber</v>
      </c>
      <c r="N151" s="34" t="n">
        <f aca="false">IF(M151="Timber",F151*VLOOKUP(D151,'Data - Items'!$A$4:$H$35,8,0),0)</f>
        <v>5.4818775</v>
      </c>
    </row>
    <row r="152" customFormat="false" ht="15" hidden="false" customHeight="false" outlineLevel="0" collapsed="false">
      <c r="A152" s="20" t="n">
        <v>12045</v>
      </c>
      <c r="B152" s="22" t="n">
        <v>46099</v>
      </c>
      <c r="C152" s="20"/>
      <c r="D152" s="20" t="s">
        <v>336</v>
      </c>
      <c r="E152" s="20" t="s">
        <v>215</v>
      </c>
      <c r="F152" s="20" t="n">
        <v>11</v>
      </c>
      <c r="G152" s="20" t="s">
        <v>303</v>
      </c>
      <c r="H152" s="21" t="n">
        <v>371.86</v>
      </c>
      <c r="I152" s="21" t="n">
        <v>4090.46</v>
      </c>
      <c r="J152" s="20" t="s">
        <v>344</v>
      </c>
      <c r="K152" s="48" t="s">
        <v>174</v>
      </c>
      <c r="L152" s="20" t="n">
        <f aca="false">VLOOKUP(K152,'Job Costing'!$A$5:$B$23,2,0)</f>
        <v>2000</v>
      </c>
      <c r="M152" s="20" t="str">
        <f aca="false">VLOOKUP(D152,'Data - Items'!$A$4:$I$35,9,0)</f>
        <v>Timber</v>
      </c>
      <c r="N152" s="34" t="n">
        <f aca="false">IF(M152="Timber",F152*VLOOKUP(D152,'Data - Items'!$A$4:$H$35,8,0),0)</f>
        <v>5.68049625</v>
      </c>
    </row>
    <row r="153" customFormat="false" ht="15" hidden="false" customHeight="false" outlineLevel="0" collapsed="false">
      <c r="A153" s="20" t="n">
        <v>12045</v>
      </c>
      <c r="B153" s="22" t="n">
        <v>46099</v>
      </c>
      <c r="C153" s="20"/>
      <c r="D153" s="20" t="s">
        <v>337</v>
      </c>
      <c r="E153" s="20" t="s">
        <v>216</v>
      </c>
      <c r="F153" s="20" t="n">
        <v>15</v>
      </c>
      <c r="G153" s="20" t="s">
        <v>303</v>
      </c>
      <c r="H153" s="21" t="n">
        <v>700.82</v>
      </c>
      <c r="I153" s="21" t="n">
        <v>10512.3</v>
      </c>
      <c r="J153" s="20" t="s">
        <v>344</v>
      </c>
      <c r="K153" s="48" t="s">
        <v>174</v>
      </c>
      <c r="L153" s="20" t="n">
        <f aca="false">VLOOKUP(K153,'Job Costing'!$A$5:$B$23,2,0)</f>
        <v>2000</v>
      </c>
      <c r="M153" s="20" t="str">
        <f aca="false">VLOOKUP(D153,'Data - Items'!$A$4:$I$35,9,0)</f>
        <v>Timber</v>
      </c>
      <c r="N153" s="34" t="n">
        <f aca="false">IF(M153="Timber",F153*VLOOKUP(D153,'Data - Items'!$A$4:$H$35,8,0),0)</f>
        <v>14.598478125</v>
      </c>
    </row>
    <row r="154" customFormat="false" ht="15" hidden="false" customHeight="false" outlineLevel="0" collapsed="false">
      <c r="A154" s="20" t="n">
        <v>12053</v>
      </c>
      <c r="B154" s="22" t="n">
        <v>46106</v>
      </c>
      <c r="C154" s="20" t="s">
        <v>175</v>
      </c>
      <c r="D154" s="20" t="s">
        <v>298</v>
      </c>
      <c r="E154" s="20" t="s">
        <v>299</v>
      </c>
      <c r="F154" s="20" t="n">
        <v>2</v>
      </c>
      <c r="G154" s="20" t="s">
        <v>300</v>
      </c>
      <c r="H154" s="21" t="n">
        <v>680</v>
      </c>
      <c r="I154" s="21" t="n">
        <v>1360</v>
      </c>
      <c r="J154" s="20"/>
      <c r="K154" s="23" t="s">
        <v>175</v>
      </c>
      <c r="L154" s="20" t="n">
        <f aca="false">VLOOKUP(K154,'Job Costing'!$A$5:$B$23,2,0)</f>
        <v>1400</v>
      </c>
      <c r="M154" s="20" t="str">
        <f aca="false">VLOOKUP(D154,'Data - Items'!$A$4:$I$35,9,0)</f>
        <v>Bubble wrap</v>
      </c>
      <c r="N154" s="34" t="n">
        <f aca="false">IF(M154="Timber",F154*VLOOKUP(D154,'Data - Items'!$A$4:$H$35,8,0),0)</f>
        <v>0</v>
      </c>
    </row>
    <row r="155" customFormat="false" ht="15" hidden="false" customHeight="false" outlineLevel="0" collapsed="false">
      <c r="A155" s="20" t="n">
        <v>12053</v>
      </c>
      <c r="B155" s="22" t="n">
        <v>46106</v>
      </c>
      <c r="C155" s="20" t="s">
        <v>175</v>
      </c>
      <c r="D155" s="20" t="s">
        <v>301</v>
      </c>
      <c r="E155" s="20" t="s">
        <v>302</v>
      </c>
      <c r="F155" s="20" t="n">
        <v>2</v>
      </c>
      <c r="G155" s="20" t="s">
        <v>303</v>
      </c>
      <c r="H155" s="21" t="n">
        <v>78</v>
      </c>
      <c r="I155" s="21" t="n">
        <v>156</v>
      </c>
      <c r="J155" s="20"/>
      <c r="K155" s="23" t="s">
        <v>175</v>
      </c>
      <c r="L155" s="20" t="n">
        <f aca="false">VLOOKUP(K155,'Job Costing'!$A$5:$B$23,2,0)</f>
        <v>1400</v>
      </c>
      <c r="M155" s="20" t="str">
        <f aca="false">VLOOKUP(D155,'Data - Items'!$A$4:$I$35,9,0)</f>
        <v>Gum tape</v>
      </c>
      <c r="N155" s="34" t="n">
        <f aca="false">IF(M155="Timber",F155*VLOOKUP(D155,'Data - Items'!$A$4:$H$35,8,0),0)</f>
        <v>0</v>
      </c>
    </row>
    <row r="156" customFormat="false" ht="15" hidden="false" customHeight="false" outlineLevel="0" collapsed="false">
      <c r="A156" s="20" t="n">
        <v>12053</v>
      </c>
      <c r="B156" s="22" t="n">
        <v>46106</v>
      </c>
      <c r="C156" s="20" t="s">
        <v>175</v>
      </c>
      <c r="D156" s="20" t="s">
        <v>307</v>
      </c>
      <c r="E156" s="20" t="s">
        <v>308</v>
      </c>
      <c r="F156" s="20" t="n">
        <v>2</v>
      </c>
      <c r="G156" s="20" t="s">
        <v>300</v>
      </c>
      <c r="H156" s="21" t="n">
        <v>2100</v>
      </c>
      <c r="I156" s="21" t="n">
        <v>4200</v>
      </c>
      <c r="J156" s="20"/>
      <c r="K156" s="23" t="s">
        <v>175</v>
      </c>
      <c r="L156" s="20" t="n">
        <f aca="false">VLOOKUP(K156,'Job Costing'!$A$5:$B$23,2,0)</f>
        <v>1400</v>
      </c>
      <c r="M156" s="20" t="str">
        <f aca="false">VLOOKUP(D156,'Data - Items'!$A$4:$I$35,9,0)</f>
        <v>Foam</v>
      </c>
      <c r="N156" s="34" t="n">
        <f aca="false">IF(M156="Timber",F156*VLOOKUP(D156,'Data - Items'!$A$4:$H$35,8,0),0)</f>
        <v>0</v>
      </c>
    </row>
    <row r="157" customFormat="false" ht="15" hidden="false" customHeight="false" outlineLevel="0" collapsed="false">
      <c r="A157" s="20" t="n">
        <v>12053</v>
      </c>
      <c r="B157" s="22" t="n">
        <v>46106</v>
      </c>
      <c r="C157" s="20" t="s">
        <v>175</v>
      </c>
      <c r="D157" s="20" t="s">
        <v>309</v>
      </c>
      <c r="E157" s="20" t="s">
        <v>310</v>
      </c>
      <c r="F157" s="20" t="n">
        <v>4</v>
      </c>
      <c r="G157" s="20" t="s">
        <v>311</v>
      </c>
      <c r="H157" s="21" t="n">
        <v>90</v>
      </c>
      <c r="I157" s="21" t="n">
        <v>360</v>
      </c>
      <c r="J157" s="20"/>
      <c r="K157" s="23" t="s">
        <v>175</v>
      </c>
      <c r="L157" s="20" t="n">
        <f aca="false">VLOOKUP(K157,'Job Costing'!$A$5:$B$23,2,0)</f>
        <v>1400</v>
      </c>
      <c r="M157" s="20" t="str">
        <f aca="false">VLOOKUP(D157,'Data - Items'!$A$4:$I$35,9,0)</f>
        <v>Nails</v>
      </c>
      <c r="N157" s="34" t="n">
        <f aca="false">IF(M157="Timber",F157*VLOOKUP(D157,'Data - Items'!$A$4:$H$35,8,0),0)</f>
        <v>0</v>
      </c>
    </row>
    <row r="158" customFormat="false" ht="15" hidden="false" customHeight="false" outlineLevel="0" collapsed="false">
      <c r="A158" s="20" t="n">
        <v>12053</v>
      </c>
      <c r="B158" s="22" t="n">
        <v>46106</v>
      </c>
      <c r="C158" s="20" t="s">
        <v>175</v>
      </c>
      <c r="D158" s="20" t="s">
        <v>312</v>
      </c>
      <c r="E158" s="20" t="s">
        <v>313</v>
      </c>
      <c r="F158" s="20" t="n">
        <v>17</v>
      </c>
      <c r="G158" s="20" t="s">
        <v>303</v>
      </c>
      <c r="H158" s="21" t="n">
        <v>160</v>
      </c>
      <c r="I158" s="21" t="n">
        <v>2720</v>
      </c>
      <c r="J158" s="20"/>
      <c r="K158" s="23" t="s">
        <v>175</v>
      </c>
      <c r="L158" s="20" t="n">
        <f aca="false">VLOOKUP(K158,'Job Costing'!$A$5:$B$23,2,0)</f>
        <v>1400</v>
      </c>
      <c r="M158" s="20" t="str">
        <f aca="false">VLOOKUP(D158,'Data - Items'!$A$4:$I$35,9,0)</f>
        <v>Ply cover</v>
      </c>
      <c r="N158" s="34" t="n">
        <f aca="false">IF(M158="Timber",F158*VLOOKUP(D158,'Data - Items'!$A$4:$H$35,8,0),0)</f>
        <v>0</v>
      </c>
    </row>
    <row r="159" customFormat="false" ht="15" hidden="false" customHeight="false" outlineLevel="0" collapsed="false">
      <c r="A159" s="20" t="n">
        <v>12053</v>
      </c>
      <c r="B159" s="22" t="n">
        <v>46106</v>
      </c>
      <c r="C159" s="20" t="s">
        <v>175</v>
      </c>
      <c r="D159" s="20" t="s">
        <v>314</v>
      </c>
      <c r="E159" s="20" t="s">
        <v>315</v>
      </c>
      <c r="F159" s="20" t="n">
        <v>7</v>
      </c>
      <c r="G159" s="20" t="s">
        <v>303</v>
      </c>
      <c r="H159" s="21" t="n">
        <v>900</v>
      </c>
      <c r="I159" s="21" t="n">
        <v>6300</v>
      </c>
      <c r="J159" s="20"/>
      <c r="K159" s="23" t="s">
        <v>175</v>
      </c>
      <c r="L159" s="20" t="n">
        <f aca="false">VLOOKUP(K159,'Job Costing'!$A$5:$B$23,2,0)</f>
        <v>1400</v>
      </c>
      <c r="M159" s="20" t="str">
        <f aca="false">VLOOKUP(D159,'Data - Items'!$A$4:$I$35,9,0)</f>
        <v>Ratchet belt</v>
      </c>
      <c r="N159" s="34" t="n">
        <f aca="false">IF(M159="Timber",F159*VLOOKUP(D159,'Data - Items'!$A$4:$H$35,8,0),0)</f>
        <v>0</v>
      </c>
    </row>
    <row r="160" customFormat="false" ht="15" hidden="false" customHeight="false" outlineLevel="0" collapsed="false">
      <c r="A160" s="20" t="n">
        <v>12053</v>
      </c>
      <c r="B160" s="22" t="n">
        <v>46106</v>
      </c>
      <c r="C160" s="20" t="s">
        <v>175</v>
      </c>
      <c r="D160" s="20" t="s">
        <v>316</v>
      </c>
      <c r="E160" s="20" t="s">
        <v>317</v>
      </c>
      <c r="F160" s="20" t="n">
        <v>7.4</v>
      </c>
      <c r="G160" s="20" t="s">
        <v>318</v>
      </c>
      <c r="H160" s="21" t="n">
        <v>166</v>
      </c>
      <c r="I160" s="21" t="n">
        <v>1228.4</v>
      </c>
      <c r="J160" s="20"/>
      <c r="K160" s="23" t="s">
        <v>175</v>
      </c>
      <c r="L160" s="20" t="n">
        <f aca="false">VLOOKUP(K160,'Job Costing'!$A$5:$B$23,2,0)</f>
        <v>1400</v>
      </c>
      <c r="M160" s="20" t="str">
        <f aca="false">VLOOKUP(D160,'Data - Items'!$A$4:$I$35,9,0)</f>
        <v>Stretch film</v>
      </c>
      <c r="N160" s="34" t="n">
        <f aca="false">IF(M160="Timber",F160*VLOOKUP(D160,'Data - Items'!$A$4:$H$35,8,0),0)</f>
        <v>0</v>
      </c>
    </row>
    <row r="161" customFormat="false" ht="15" hidden="false" customHeight="false" outlineLevel="0" collapsed="false">
      <c r="A161" s="20" t="n">
        <v>12053</v>
      </c>
      <c r="B161" s="22" t="n">
        <v>46106</v>
      </c>
      <c r="C161" s="20" t="s">
        <v>175</v>
      </c>
      <c r="D161" s="20" t="s">
        <v>332</v>
      </c>
      <c r="E161" s="20" t="s">
        <v>203</v>
      </c>
      <c r="F161" s="20" t="n">
        <v>12</v>
      </c>
      <c r="G161" s="20" t="s">
        <v>303</v>
      </c>
      <c r="H161" s="21" t="n">
        <v>235.8</v>
      </c>
      <c r="I161" s="21" t="n">
        <v>2829.6</v>
      </c>
      <c r="J161" s="20"/>
      <c r="K161" s="23" t="s">
        <v>175</v>
      </c>
      <c r="L161" s="20" t="n">
        <f aca="false">VLOOKUP(K161,'Job Costing'!$A$5:$B$23,2,0)</f>
        <v>1400</v>
      </c>
      <c r="M161" s="20" t="str">
        <f aca="false">VLOOKUP(D161,'Data - Items'!$A$4:$I$35,9,0)</f>
        <v>Timber</v>
      </c>
      <c r="N161" s="34" t="n">
        <f aca="false">IF(M161="Timber",F161*VLOOKUP(D161,'Data - Items'!$A$4:$H$35,8,0),0)</f>
        <v>3.81348</v>
      </c>
    </row>
    <row r="162" customFormat="false" ht="15" hidden="false" customHeight="false" outlineLevel="0" collapsed="false">
      <c r="A162" s="20" t="n">
        <v>12053</v>
      </c>
      <c r="B162" s="22" t="n">
        <v>46106</v>
      </c>
      <c r="C162" s="20" t="s">
        <v>175</v>
      </c>
      <c r="D162" s="20" t="s">
        <v>320</v>
      </c>
      <c r="E162" s="20" t="s">
        <v>204</v>
      </c>
      <c r="F162" s="20" t="n">
        <v>12</v>
      </c>
      <c r="G162" s="20" t="s">
        <v>303</v>
      </c>
      <c r="H162" s="21" t="n">
        <v>19.65</v>
      </c>
      <c r="I162" s="21" t="n">
        <v>235.8</v>
      </c>
      <c r="J162" s="20"/>
      <c r="K162" s="23" t="s">
        <v>175</v>
      </c>
      <c r="L162" s="20" t="n">
        <f aca="false">VLOOKUP(K162,'Job Costing'!$A$5:$B$23,2,0)</f>
        <v>1400</v>
      </c>
      <c r="M162" s="20" t="str">
        <f aca="false">VLOOKUP(D162,'Data - Items'!$A$4:$I$35,9,0)</f>
        <v>Timber</v>
      </c>
      <c r="N162" s="34" t="n">
        <f aca="false">IF(M162="Timber",F162*VLOOKUP(D162,'Data - Items'!$A$4:$H$35,8,0),0)</f>
        <v>0.31779</v>
      </c>
    </row>
    <row r="163" customFormat="false" ht="15" hidden="false" customHeight="false" outlineLevel="0" collapsed="false">
      <c r="A163" s="20" t="n">
        <v>12053</v>
      </c>
      <c r="B163" s="22" t="n">
        <v>46106</v>
      </c>
      <c r="C163" s="20" t="s">
        <v>175</v>
      </c>
      <c r="D163" s="20" t="s">
        <v>328</v>
      </c>
      <c r="E163" s="20" t="s">
        <v>205</v>
      </c>
      <c r="F163" s="20" t="n">
        <v>12</v>
      </c>
      <c r="G163" s="20" t="s">
        <v>303</v>
      </c>
      <c r="H163" s="21" t="n">
        <v>176.85</v>
      </c>
      <c r="I163" s="21" t="n">
        <v>2122.2</v>
      </c>
      <c r="J163" s="20"/>
      <c r="K163" s="23" t="s">
        <v>175</v>
      </c>
      <c r="L163" s="20" t="n">
        <f aca="false">VLOOKUP(K163,'Job Costing'!$A$5:$B$23,2,0)</f>
        <v>1400</v>
      </c>
      <c r="M163" s="20" t="str">
        <f aca="false">VLOOKUP(D163,'Data - Items'!$A$4:$I$35,9,0)</f>
        <v>Timber</v>
      </c>
      <c r="N163" s="34" t="n">
        <f aca="false">IF(M163="Timber",F163*VLOOKUP(D163,'Data - Items'!$A$4:$H$35,8,0),0)</f>
        <v>2.86011</v>
      </c>
    </row>
    <row r="164" customFormat="false" ht="15" hidden="false" customHeight="false" outlineLevel="0" collapsed="false">
      <c r="A164" s="20" t="n">
        <v>12053</v>
      </c>
      <c r="B164" s="22" t="n">
        <v>46106</v>
      </c>
      <c r="C164" s="20" t="s">
        <v>175</v>
      </c>
      <c r="D164" s="20" t="s">
        <v>333</v>
      </c>
      <c r="E164" s="20" t="s">
        <v>206</v>
      </c>
      <c r="F164" s="20" t="n">
        <v>8</v>
      </c>
      <c r="G164" s="20" t="s">
        <v>303</v>
      </c>
      <c r="H164" s="21" t="n">
        <v>751.61</v>
      </c>
      <c r="I164" s="21" t="n">
        <v>6012.88</v>
      </c>
      <c r="J164" s="20"/>
      <c r="K164" s="23" t="s">
        <v>175</v>
      </c>
      <c r="L164" s="20" t="n">
        <f aca="false">VLOOKUP(K164,'Job Costing'!$A$5:$B$23,2,0)</f>
        <v>1400</v>
      </c>
      <c r="M164" s="20" t="str">
        <f aca="false">VLOOKUP(D164,'Data - Items'!$A$4:$I$35,9,0)</f>
        <v>Timber</v>
      </c>
      <c r="N164" s="34" t="n">
        <f aca="false">IF(M164="Timber",F164*VLOOKUP(D164,'Data - Items'!$A$4:$H$35,8,0),0)</f>
        <v>8.103645</v>
      </c>
    </row>
    <row r="165" customFormat="false" ht="15" hidden="false" customHeight="false" outlineLevel="0" collapsed="false">
      <c r="A165" s="20" t="n">
        <v>12053</v>
      </c>
      <c r="B165" s="22" t="n">
        <v>46106</v>
      </c>
      <c r="C165" s="20" t="s">
        <v>175</v>
      </c>
      <c r="D165" s="20" t="s">
        <v>334</v>
      </c>
      <c r="E165" s="20" t="s">
        <v>207</v>
      </c>
      <c r="F165" s="20" t="n">
        <v>7</v>
      </c>
      <c r="G165" s="20" t="s">
        <v>303</v>
      </c>
      <c r="H165" s="21" t="n">
        <v>265.27</v>
      </c>
      <c r="I165" s="21" t="n">
        <v>1856.89</v>
      </c>
      <c r="J165" s="20"/>
      <c r="K165" s="23" t="s">
        <v>175</v>
      </c>
      <c r="L165" s="20" t="n">
        <f aca="false">VLOOKUP(K165,'Job Costing'!$A$5:$B$23,2,0)</f>
        <v>1400</v>
      </c>
      <c r="M165" s="20" t="str">
        <f aca="false">VLOOKUP(D165,'Data - Items'!$A$4:$I$35,9,0)</f>
        <v>Timber</v>
      </c>
      <c r="N165" s="34" t="n">
        <f aca="false">IF(M165="Timber",F165*VLOOKUP(D165,'Data - Items'!$A$4:$H$35,8,0),0)</f>
        <v>2.50259625</v>
      </c>
    </row>
    <row r="166" customFormat="false" ht="15" hidden="false" customHeight="false" outlineLevel="0" collapsed="false">
      <c r="A166" s="20" t="n">
        <v>12070</v>
      </c>
      <c r="B166" s="22" t="n">
        <v>46120</v>
      </c>
      <c r="C166" s="20" t="s">
        <v>177</v>
      </c>
      <c r="D166" s="20" t="s">
        <v>298</v>
      </c>
      <c r="E166" s="20" t="s">
        <v>299</v>
      </c>
      <c r="F166" s="20" t="n">
        <v>3</v>
      </c>
      <c r="G166" s="20" t="s">
        <v>300</v>
      </c>
      <c r="H166" s="21" t="n">
        <v>680</v>
      </c>
      <c r="I166" s="21" t="n">
        <v>2040</v>
      </c>
      <c r="J166" s="20"/>
      <c r="K166" s="23" t="s">
        <v>177</v>
      </c>
      <c r="L166" s="20" t="n">
        <f aca="false">VLOOKUP(K166,'Job Costing'!$A$5:$B$23,2,0)</f>
        <v>1800</v>
      </c>
      <c r="M166" s="20" t="str">
        <f aca="false">VLOOKUP(D166,'Data - Items'!$A$4:$I$35,9,0)</f>
        <v>Bubble wrap</v>
      </c>
      <c r="N166" s="34" t="n">
        <f aca="false">IF(M166="Timber",F166*VLOOKUP(D166,'Data - Items'!$A$4:$H$35,8,0),0)</f>
        <v>0</v>
      </c>
    </row>
    <row r="167" customFormat="false" ht="15" hidden="false" customHeight="false" outlineLevel="0" collapsed="false">
      <c r="A167" s="20" t="n">
        <v>12070</v>
      </c>
      <c r="B167" s="22" t="n">
        <v>46120</v>
      </c>
      <c r="C167" s="20" t="s">
        <v>177</v>
      </c>
      <c r="D167" s="20" t="s">
        <v>301</v>
      </c>
      <c r="E167" s="20" t="s">
        <v>302</v>
      </c>
      <c r="F167" s="20" t="n">
        <v>3</v>
      </c>
      <c r="G167" s="20" t="s">
        <v>303</v>
      </c>
      <c r="H167" s="21" t="n">
        <v>78</v>
      </c>
      <c r="I167" s="21" t="n">
        <v>234</v>
      </c>
      <c r="J167" s="20"/>
      <c r="K167" s="23" t="s">
        <v>177</v>
      </c>
      <c r="L167" s="20" t="n">
        <f aca="false">VLOOKUP(K167,'Job Costing'!$A$5:$B$23,2,0)</f>
        <v>1800</v>
      </c>
      <c r="M167" s="20" t="str">
        <f aca="false">VLOOKUP(D167,'Data - Items'!$A$4:$I$35,9,0)</f>
        <v>Gum tape</v>
      </c>
      <c r="N167" s="34" t="n">
        <f aca="false">IF(M167="Timber",F167*VLOOKUP(D167,'Data - Items'!$A$4:$H$35,8,0),0)</f>
        <v>0</v>
      </c>
    </row>
    <row r="168" customFormat="false" ht="15" hidden="false" customHeight="false" outlineLevel="0" collapsed="false">
      <c r="A168" s="20" t="n">
        <v>12070</v>
      </c>
      <c r="B168" s="22" t="n">
        <v>46120</v>
      </c>
      <c r="C168" s="20" t="s">
        <v>177</v>
      </c>
      <c r="D168" s="20" t="s">
        <v>307</v>
      </c>
      <c r="E168" s="20" t="s">
        <v>308</v>
      </c>
      <c r="F168" s="20" t="n">
        <v>2</v>
      </c>
      <c r="G168" s="20" t="s">
        <v>300</v>
      </c>
      <c r="H168" s="21" t="n">
        <v>2100</v>
      </c>
      <c r="I168" s="21" t="n">
        <v>4200</v>
      </c>
      <c r="J168" s="20"/>
      <c r="K168" s="23" t="s">
        <v>177</v>
      </c>
      <c r="L168" s="20" t="n">
        <f aca="false">VLOOKUP(K168,'Job Costing'!$A$5:$B$23,2,0)</f>
        <v>1800</v>
      </c>
      <c r="M168" s="20" t="str">
        <f aca="false">VLOOKUP(D168,'Data - Items'!$A$4:$I$35,9,0)</f>
        <v>Foam</v>
      </c>
      <c r="N168" s="34" t="n">
        <f aca="false">IF(M168="Timber",F168*VLOOKUP(D168,'Data - Items'!$A$4:$H$35,8,0),0)</f>
        <v>0</v>
      </c>
    </row>
    <row r="169" customFormat="false" ht="15" hidden="false" customHeight="false" outlineLevel="0" collapsed="false">
      <c r="A169" s="20" t="n">
        <v>12070</v>
      </c>
      <c r="B169" s="22" t="n">
        <v>46120</v>
      </c>
      <c r="C169" s="20" t="s">
        <v>177</v>
      </c>
      <c r="D169" s="20" t="s">
        <v>309</v>
      </c>
      <c r="E169" s="20" t="s">
        <v>310</v>
      </c>
      <c r="F169" s="20" t="n">
        <v>4</v>
      </c>
      <c r="G169" s="20" t="s">
        <v>311</v>
      </c>
      <c r="H169" s="21" t="n">
        <v>90</v>
      </c>
      <c r="I169" s="21" t="n">
        <v>360</v>
      </c>
      <c r="J169" s="20"/>
      <c r="K169" s="23" t="s">
        <v>177</v>
      </c>
      <c r="L169" s="20" t="n">
        <f aca="false">VLOOKUP(K169,'Job Costing'!$A$5:$B$23,2,0)</f>
        <v>1800</v>
      </c>
      <c r="M169" s="20" t="str">
        <f aca="false">VLOOKUP(D169,'Data - Items'!$A$4:$I$35,9,0)</f>
        <v>Nails</v>
      </c>
      <c r="N169" s="34" t="n">
        <f aca="false">IF(M169="Timber",F169*VLOOKUP(D169,'Data - Items'!$A$4:$H$35,8,0),0)</f>
        <v>0</v>
      </c>
    </row>
    <row r="170" customFormat="false" ht="15" hidden="false" customHeight="false" outlineLevel="0" collapsed="false">
      <c r="A170" s="20" t="n">
        <v>12070</v>
      </c>
      <c r="B170" s="22" t="n">
        <v>46120</v>
      </c>
      <c r="C170" s="20" t="s">
        <v>177</v>
      </c>
      <c r="D170" s="20" t="s">
        <v>312</v>
      </c>
      <c r="E170" s="20" t="s">
        <v>313</v>
      </c>
      <c r="F170" s="20" t="n">
        <v>18</v>
      </c>
      <c r="G170" s="20" t="s">
        <v>303</v>
      </c>
      <c r="H170" s="21" t="n">
        <v>160</v>
      </c>
      <c r="I170" s="21" t="n">
        <v>2880</v>
      </c>
      <c r="J170" s="20"/>
      <c r="K170" s="23" t="s">
        <v>177</v>
      </c>
      <c r="L170" s="20" t="n">
        <f aca="false">VLOOKUP(K170,'Job Costing'!$A$5:$B$23,2,0)</f>
        <v>1800</v>
      </c>
      <c r="M170" s="20" t="str">
        <f aca="false">VLOOKUP(D170,'Data - Items'!$A$4:$I$35,9,0)</f>
        <v>Ply cover</v>
      </c>
      <c r="N170" s="34" t="n">
        <f aca="false">IF(M170="Timber",F170*VLOOKUP(D170,'Data - Items'!$A$4:$H$35,8,0),0)</f>
        <v>0</v>
      </c>
    </row>
    <row r="171" customFormat="false" ht="15" hidden="false" customHeight="false" outlineLevel="0" collapsed="false">
      <c r="A171" s="20" t="n">
        <v>12070</v>
      </c>
      <c r="B171" s="22" t="n">
        <v>46120</v>
      </c>
      <c r="C171" s="20" t="s">
        <v>177</v>
      </c>
      <c r="D171" s="20" t="s">
        <v>314</v>
      </c>
      <c r="E171" s="20" t="s">
        <v>315</v>
      </c>
      <c r="F171" s="20" t="n">
        <v>6</v>
      </c>
      <c r="G171" s="20" t="s">
        <v>303</v>
      </c>
      <c r="H171" s="21" t="n">
        <v>900</v>
      </c>
      <c r="I171" s="21" t="n">
        <v>5400</v>
      </c>
      <c r="J171" s="20"/>
      <c r="K171" s="23" t="s">
        <v>177</v>
      </c>
      <c r="L171" s="20" t="n">
        <f aca="false">VLOOKUP(K171,'Job Costing'!$A$5:$B$23,2,0)</f>
        <v>1800</v>
      </c>
      <c r="M171" s="20" t="str">
        <f aca="false">VLOOKUP(D171,'Data - Items'!$A$4:$I$35,9,0)</f>
        <v>Ratchet belt</v>
      </c>
      <c r="N171" s="34" t="n">
        <f aca="false">IF(M171="Timber",F171*VLOOKUP(D171,'Data - Items'!$A$4:$H$35,8,0),0)</f>
        <v>0</v>
      </c>
    </row>
    <row r="172" customFormat="false" ht="15" hidden="false" customHeight="false" outlineLevel="0" collapsed="false">
      <c r="A172" s="20" t="n">
        <v>12070</v>
      </c>
      <c r="B172" s="22" t="n">
        <v>46120</v>
      </c>
      <c r="C172" s="20" t="s">
        <v>177</v>
      </c>
      <c r="D172" s="20" t="s">
        <v>316</v>
      </c>
      <c r="E172" s="20" t="s">
        <v>317</v>
      </c>
      <c r="F172" s="20" t="n">
        <v>10.5</v>
      </c>
      <c r="G172" s="20" t="s">
        <v>318</v>
      </c>
      <c r="H172" s="21" t="n">
        <v>166</v>
      </c>
      <c r="I172" s="21" t="n">
        <v>1743</v>
      </c>
      <c r="J172" s="20"/>
      <c r="K172" s="23" t="s">
        <v>177</v>
      </c>
      <c r="L172" s="20" t="n">
        <f aca="false">VLOOKUP(K172,'Job Costing'!$A$5:$B$23,2,0)</f>
        <v>1800</v>
      </c>
      <c r="M172" s="20" t="str">
        <f aca="false">VLOOKUP(D172,'Data - Items'!$A$4:$I$35,9,0)</f>
        <v>Stretch film</v>
      </c>
      <c r="N172" s="34" t="n">
        <f aca="false">IF(M172="Timber",F172*VLOOKUP(D172,'Data - Items'!$A$4:$H$35,8,0),0)</f>
        <v>0</v>
      </c>
    </row>
    <row r="173" customFormat="false" ht="15" hidden="false" customHeight="false" outlineLevel="0" collapsed="false">
      <c r="A173" s="20" t="n">
        <v>12070</v>
      </c>
      <c r="B173" s="22" t="n">
        <v>46120</v>
      </c>
      <c r="C173" s="20" t="s">
        <v>177</v>
      </c>
      <c r="D173" s="20" t="s">
        <v>327</v>
      </c>
      <c r="E173" s="20" t="s">
        <v>211</v>
      </c>
      <c r="F173" s="20" t="n">
        <v>13</v>
      </c>
      <c r="G173" s="20" t="s">
        <v>303</v>
      </c>
      <c r="H173" s="21" t="n">
        <v>301.3</v>
      </c>
      <c r="I173" s="21" t="n">
        <v>3916.9</v>
      </c>
      <c r="J173" s="20"/>
      <c r="K173" s="23" t="s">
        <v>177</v>
      </c>
      <c r="L173" s="20" t="n">
        <f aca="false">VLOOKUP(K173,'Job Costing'!$A$5:$B$23,2,0)</f>
        <v>1800</v>
      </c>
      <c r="M173" s="20" t="str">
        <f aca="false">VLOOKUP(D173,'Data - Items'!$A$4:$I$35,9,0)</f>
        <v>Timber</v>
      </c>
      <c r="N173" s="34" t="n">
        <f aca="false">IF(M173="Timber",F173*VLOOKUP(D173,'Data - Items'!$A$4:$H$35,8,0),0)</f>
        <v>5.278845</v>
      </c>
    </row>
    <row r="174" customFormat="false" ht="15" hidden="false" customHeight="false" outlineLevel="0" collapsed="false">
      <c r="A174" s="20" t="n">
        <v>12070</v>
      </c>
      <c r="B174" s="22" t="n">
        <v>46120</v>
      </c>
      <c r="C174" s="20" t="s">
        <v>177</v>
      </c>
      <c r="D174" s="20" t="s">
        <v>320</v>
      </c>
      <c r="E174" s="20" t="s">
        <v>204</v>
      </c>
      <c r="F174" s="20" t="n">
        <v>10</v>
      </c>
      <c r="G174" s="20" t="s">
        <v>303</v>
      </c>
      <c r="H174" s="21" t="n">
        <v>19.65</v>
      </c>
      <c r="I174" s="21" t="n">
        <v>196.5</v>
      </c>
      <c r="J174" s="20"/>
      <c r="K174" s="23" t="s">
        <v>177</v>
      </c>
      <c r="L174" s="20" t="n">
        <f aca="false">VLOOKUP(K174,'Job Costing'!$A$5:$B$23,2,0)</f>
        <v>1800</v>
      </c>
      <c r="M174" s="20" t="str">
        <f aca="false">VLOOKUP(D174,'Data - Items'!$A$4:$I$35,9,0)</f>
        <v>Timber</v>
      </c>
      <c r="N174" s="34" t="n">
        <f aca="false">IF(M174="Timber",F174*VLOOKUP(D174,'Data - Items'!$A$4:$H$35,8,0),0)</f>
        <v>0.264825</v>
      </c>
    </row>
    <row r="175" customFormat="false" ht="15" hidden="false" customHeight="false" outlineLevel="0" collapsed="false">
      <c r="A175" s="20" t="n">
        <v>12070</v>
      </c>
      <c r="B175" s="22" t="n">
        <v>46120</v>
      </c>
      <c r="C175" s="20" t="s">
        <v>177</v>
      </c>
      <c r="D175" s="20" t="s">
        <v>328</v>
      </c>
      <c r="E175" s="20" t="s">
        <v>205</v>
      </c>
      <c r="F175" s="20" t="n">
        <v>11</v>
      </c>
      <c r="G175" s="20" t="s">
        <v>303</v>
      </c>
      <c r="H175" s="21" t="n">
        <v>176.85</v>
      </c>
      <c r="I175" s="21" t="n">
        <v>1945.35</v>
      </c>
      <c r="J175" s="20"/>
      <c r="K175" s="23" t="s">
        <v>177</v>
      </c>
      <c r="L175" s="20" t="n">
        <f aca="false">VLOOKUP(K175,'Job Costing'!$A$5:$B$23,2,0)</f>
        <v>1800</v>
      </c>
      <c r="M175" s="20" t="str">
        <f aca="false">VLOOKUP(D175,'Data - Items'!$A$4:$I$35,9,0)</f>
        <v>Timber</v>
      </c>
      <c r="N175" s="34" t="n">
        <f aca="false">IF(M175="Timber",F175*VLOOKUP(D175,'Data - Items'!$A$4:$H$35,8,0),0)</f>
        <v>2.6217675</v>
      </c>
    </row>
    <row r="176" customFormat="false" ht="15" hidden="false" customHeight="false" outlineLevel="0" collapsed="false">
      <c r="A176" s="20" t="n">
        <v>12070</v>
      </c>
      <c r="B176" s="22" t="n">
        <v>46120</v>
      </c>
      <c r="C176" s="20" t="s">
        <v>177</v>
      </c>
      <c r="D176" s="20" t="s">
        <v>329</v>
      </c>
      <c r="E176" s="20" t="s">
        <v>212</v>
      </c>
      <c r="F176" s="20" t="n">
        <v>6</v>
      </c>
      <c r="G176" s="20" t="s">
        <v>303</v>
      </c>
      <c r="H176" s="21" t="n">
        <v>338.96</v>
      </c>
      <c r="I176" s="21" t="n">
        <v>2033.76</v>
      </c>
      <c r="J176" s="20"/>
      <c r="K176" s="23" t="s">
        <v>177</v>
      </c>
      <c r="L176" s="20" t="n">
        <f aca="false">VLOOKUP(K176,'Job Costing'!$A$5:$B$23,2,0)</f>
        <v>1800</v>
      </c>
      <c r="M176" s="20" t="str">
        <f aca="false">VLOOKUP(D176,'Data - Items'!$A$4:$I$35,9,0)</f>
        <v>Timber</v>
      </c>
      <c r="N176" s="34" t="n">
        <f aca="false">IF(M176="Timber",F176*VLOOKUP(D176,'Data - Items'!$A$4:$H$35,8,0),0)</f>
        <v>2.74093875</v>
      </c>
    </row>
    <row r="177" customFormat="false" ht="15" hidden="false" customHeight="false" outlineLevel="0" collapsed="false">
      <c r="A177" s="20" t="n">
        <v>12070</v>
      </c>
      <c r="B177" s="22" t="n">
        <v>46120</v>
      </c>
      <c r="C177" s="20" t="s">
        <v>177</v>
      </c>
      <c r="D177" s="20" t="s">
        <v>330</v>
      </c>
      <c r="E177" s="20" t="s">
        <v>213</v>
      </c>
      <c r="F177" s="20" t="n">
        <v>11</v>
      </c>
      <c r="G177" s="20" t="s">
        <v>303</v>
      </c>
      <c r="H177" s="21" t="n">
        <v>840.04</v>
      </c>
      <c r="I177" s="21" t="n">
        <v>9240.44</v>
      </c>
      <c r="J177" s="20"/>
      <c r="K177" s="23" t="s">
        <v>177</v>
      </c>
      <c r="L177" s="20" t="n">
        <f aca="false">VLOOKUP(K177,'Job Costing'!$A$5:$B$23,2,0)</f>
        <v>1800</v>
      </c>
      <c r="M177" s="20" t="str">
        <f aca="false">VLOOKUP(D177,'Data - Items'!$A$4:$I$35,9,0)</f>
        <v>Timber</v>
      </c>
      <c r="N177" s="34" t="n">
        <f aca="false">IF(M177="Timber",F177*VLOOKUP(D177,'Data - Items'!$A$4:$H$35,8,0),0)</f>
        <v>12.453395625</v>
      </c>
    </row>
    <row r="178" customFormat="false" ht="15" hidden="false" customHeight="false" outlineLevel="0" collapsed="false">
      <c r="A178" s="20" t="n">
        <v>12089</v>
      </c>
      <c r="B178" s="22" t="n">
        <v>46128</v>
      </c>
      <c r="C178" s="20" t="s">
        <v>178</v>
      </c>
      <c r="D178" s="20" t="s">
        <v>298</v>
      </c>
      <c r="E178" s="20" t="s">
        <v>299</v>
      </c>
      <c r="F178" s="20" t="n">
        <v>6</v>
      </c>
      <c r="G178" s="20" t="s">
        <v>300</v>
      </c>
      <c r="H178" s="21" t="n">
        <v>680</v>
      </c>
      <c r="I178" s="21" t="n">
        <v>4080</v>
      </c>
      <c r="J178" s="20"/>
      <c r="K178" s="23" t="s">
        <v>178</v>
      </c>
      <c r="L178" s="20" t="n">
        <f aca="false">VLOOKUP(K178,'Job Costing'!$A$5:$B$23,2,0)</f>
        <v>3000</v>
      </c>
      <c r="M178" s="20" t="str">
        <f aca="false">VLOOKUP(D178,'Data - Items'!$A$4:$I$35,9,0)</f>
        <v>Bubble wrap</v>
      </c>
      <c r="N178" s="34" t="n">
        <f aca="false">IF(M178="Timber",F178*VLOOKUP(D178,'Data - Items'!$A$4:$H$35,8,0),0)</f>
        <v>0</v>
      </c>
    </row>
    <row r="179" customFormat="false" ht="15" hidden="false" customHeight="false" outlineLevel="0" collapsed="false">
      <c r="A179" s="20" t="n">
        <v>12089</v>
      </c>
      <c r="B179" s="22" t="n">
        <v>46128</v>
      </c>
      <c r="C179" s="20" t="s">
        <v>178</v>
      </c>
      <c r="D179" s="20" t="s">
        <v>301</v>
      </c>
      <c r="E179" s="20" t="s">
        <v>302</v>
      </c>
      <c r="F179" s="20" t="n">
        <v>4</v>
      </c>
      <c r="G179" s="20" t="s">
        <v>303</v>
      </c>
      <c r="H179" s="21" t="n">
        <v>78</v>
      </c>
      <c r="I179" s="21" t="n">
        <v>312</v>
      </c>
      <c r="J179" s="20"/>
      <c r="K179" s="23" t="s">
        <v>178</v>
      </c>
      <c r="L179" s="20" t="n">
        <f aca="false">VLOOKUP(K179,'Job Costing'!$A$5:$B$23,2,0)</f>
        <v>3000</v>
      </c>
      <c r="M179" s="20" t="str">
        <f aca="false">VLOOKUP(D179,'Data - Items'!$A$4:$I$35,9,0)</f>
        <v>Gum tape</v>
      </c>
      <c r="N179" s="34" t="n">
        <f aca="false">IF(M179="Timber",F179*VLOOKUP(D179,'Data - Items'!$A$4:$H$35,8,0),0)</f>
        <v>0</v>
      </c>
    </row>
    <row r="180" customFormat="false" ht="15" hidden="false" customHeight="false" outlineLevel="0" collapsed="false">
      <c r="A180" s="20" t="n">
        <v>12089</v>
      </c>
      <c r="B180" s="22" t="n">
        <v>46128</v>
      </c>
      <c r="C180" s="20" t="s">
        <v>178</v>
      </c>
      <c r="D180" s="20" t="s">
        <v>304</v>
      </c>
      <c r="E180" s="20" t="s">
        <v>305</v>
      </c>
      <c r="F180" s="20" t="n">
        <v>2100</v>
      </c>
      <c r="G180" s="20" t="s">
        <v>306</v>
      </c>
      <c r="H180" s="21" t="n">
        <v>5</v>
      </c>
      <c r="I180" s="21" t="n">
        <v>10500</v>
      </c>
      <c r="J180" s="20"/>
      <c r="K180" s="23" t="s">
        <v>178</v>
      </c>
      <c r="L180" s="20" t="n">
        <f aca="false">VLOOKUP(K180,'Job Costing'!$A$5:$B$23,2,0)</f>
        <v>3000</v>
      </c>
      <c r="M180" s="20" t="str">
        <f aca="false">VLOOKUP(D180,'Data - Items'!$A$4:$I$35,9,0)</f>
        <v>Tarpaulin</v>
      </c>
      <c r="N180" s="34" t="n">
        <f aca="false">IF(M180="Timber",F180*VLOOKUP(D180,'Data - Items'!$A$4:$H$35,8,0),0)</f>
        <v>0</v>
      </c>
    </row>
    <row r="181" customFormat="false" ht="15" hidden="false" customHeight="false" outlineLevel="0" collapsed="false">
      <c r="A181" s="20" t="n">
        <v>12089</v>
      </c>
      <c r="B181" s="22" t="n">
        <v>46128</v>
      </c>
      <c r="C181" s="20" t="s">
        <v>178</v>
      </c>
      <c r="D181" s="20" t="s">
        <v>307</v>
      </c>
      <c r="E181" s="20" t="s">
        <v>308</v>
      </c>
      <c r="F181" s="20" t="n">
        <v>3</v>
      </c>
      <c r="G181" s="20" t="s">
        <v>300</v>
      </c>
      <c r="H181" s="21" t="n">
        <v>2100</v>
      </c>
      <c r="I181" s="21" t="n">
        <v>6300</v>
      </c>
      <c r="J181" s="20"/>
      <c r="K181" s="23" t="s">
        <v>178</v>
      </c>
      <c r="L181" s="20" t="n">
        <f aca="false">VLOOKUP(K181,'Job Costing'!$A$5:$B$23,2,0)</f>
        <v>3000</v>
      </c>
      <c r="M181" s="20" t="str">
        <f aca="false">VLOOKUP(D181,'Data - Items'!$A$4:$I$35,9,0)</f>
        <v>Foam</v>
      </c>
      <c r="N181" s="34" t="n">
        <f aca="false">IF(M181="Timber",F181*VLOOKUP(D181,'Data - Items'!$A$4:$H$35,8,0),0)</f>
        <v>0</v>
      </c>
    </row>
    <row r="182" customFormat="false" ht="15" hidden="false" customHeight="false" outlineLevel="0" collapsed="false">
      <c r="A182" s="20" t="n">
        <v>12089</v>
      </c>
      <c r="B182" s="22" t="n">
        <v>46128</v>
      </c>
      <c r="C182" s="20" t="s">
        <v>178</v>
      </c>
      <c r="D182" s="20" t="s">
        <v>309</v>
      </c>
      <c r="E182" s="20" t="s">
        <v>310</v>
      </c>
      <c r="F182" s="20" t="n">
        <v>6</v>
      </c>
      <c r="G182" s="20" t="s">
        <v>311</v>
      </c>
      <c r="H182" s="21" t="n">
        <v>90</v>
      </c>
      <c r="I182" s="21" t="n">
        <v>540</v>
      </c>
      <c r="J182" s="20"/>
      <c r="K182" s="23" t="s">
        <v>178</v>
      </c>
      <c r="L182" s="20" t="n">
        <f aca="false">VLOOKUP(K182,'Job Costing'!$A$5:$B$23,2,0)</f>
        <v>3000</v>
      </c>
      <c r="M182" s="20" t="str">
        <f aca="false">VLOOKUP(D182,'Data - Items'!$A$4:$I$35,9,0)</f>
        <v>Nails</v>
      </c>
      <c r="N182" s="34" t="n">
        <f aca="false">IF(M182="Timber",F182*VLOOKUP(D182,'Data - Items'!$A$4:$H$35,8,0),0)</f>
        <v>0</v>
      </c>
    </row>
    <row r="183" customFormat="false" ht="15" hidden="false" customHeight="false" outlineLevel="0" collapsed="false">
      <c r="A183" s="20" t="n">
        <v>12089</v>
      </c>
      <c r="B183" s="22" t="n">
        <v>46128</v>
      </c>
      <c r="C183" s="20" t="s">
        <v>178</v>
      </c>
      <c r="D183" s="20" t="s">
        <v>312</v>
      </c>
      <c r="E183" s="20" t="s">
        <v>313</v>
      </c>
      <c r="F183" s="20" t="n">
        <v>10</v>
      </c>
      <c r="G183" s="20" t="s">
        <v>303</v>
      </c>
      <c r="H183" s="21" t="n">
        <v>160</v>
      </c>
      <c r="I183" s="21" t="n">
        <v>1600</v>
      </c>
      <c r="J183" s="20"/>
      <c r="K183" s="23" t="s">
        <v>178</v>
      </c>
      <c r="L183" s="20" t="n">
        <f aca="false">VLOOKUP(K183,'Job Costing'!$A$5:$B$23,2,0)</f>
        <v>3000</v>
      </c>
      <c r="M183" s="20" t="str">
        <f aca="false">VLOOKUP(D183,'Data - Items'!$A$4:$I$35,9,0)</f>
        <v>Ply cover</v>
      </c>
      <c r="N183" s="34" t="n">
        <f aca="false">IF(M183="Timber",F183*VLOOKUP(D183,'Data - Items'!$A$4:$H$35,8,0),0)</f>
        <v>0</v>
      </c>
    </row>
    <row r="184" customFormat="false" ht="15" hidden="false" customHeight="false" outlineLevel="0" collapsed="false">
      <c r="A184" s="20" t="n">
        <v>12089</v>
      </c>
      <c r="B184" s="22" t="n">
        <v>46128</v>
      </c>
      <c r="C184" s="20" t="s">
        <v>178</v>
      </c>
      <c r="D184" s="20" t="s">
        <v>314</v>
      </c>
      <c r="E184" s="20" t="s">
        <v>315</v>
      </c>
      <c r="F184" s="20" t="n">
        <v>8</v>
      </c>
      <c r="G184" s="20" t="s">
        <v>303</v>
      </c>
      <c r="H184" s="21" t="n">
        <v>900</v>
      </c>
      <c r="I184" s="21" t="n">
        <v>7200</v>
      </c>
      <c r="J184" s="20"/>
      <c r="K184" s="23" t="s">
        <v>178</v>
      </c>
      <c r="L184" s="20" t="n">
        <f aca="false">VLOOKUP(K184,'Job Costing'!$A$5:$B$23,2,0)</f>
        <v>3000</v>
      </c>
      <c r="M184" s="20" t="str">
        <f aca="false">VLOOKUP(D184,'Data - Items'!$A$4:$I$35,9,0)</f>
        <v>Ratchet belt</v>
      </c>
      <c r="N184" s="34" t="n">
        <f aca="false">IF(M184="Timber",F184*VLOOKUP(D184,'Data - Items'!$A$4:$H$35,8,0),0)</f>
        <v>0</v>
      </c>
    </row>
    <row r="185" customFormat="false" ht="15" hidden="false" customHeight="false" outlineLevel="0" collapsed="false">
      <c r="A185" s="20" t="n">
        <v>12089</v>
      </c>
      <c r="B185" s="22" t="n">
        <v>46128</v>
      </c>
      <c r="C185" s="20" t="s">
        <v>178</v>
      </c>
      <c r="D185" s="20" t="s">
        <v>316</v>
      </c>
      <c r="E185" s="20" t="s">
        <v>317</v>
      </c>
      <c r="F185" s="20" t="n">
        <v>10.7</v>
      </c>
      <c r="G185" s="20" t="s">
        <v>318</v>
      </c>
      <c r="H185" s="21" t="n">
        <v>166</v>
      </c>
      <c r="I185" s="21" t="n">
        <v>1776.2</v>
      </c>
      <c r="J185" s="20"/>
      <c r="K185" s="23" t="s">
        <v>178</v>
      </c>
      <c r="L185" s="20" t="n">
        <f aca="false">VLOOKUP(K185,'Job Costing'!$A$5:$B$23,2,0)</f>
        <v>3000</v>
      </c>
      <c r="M185" s="20" t="str">
        <f aca="false">VLOOKUP(D185,'Data - Items'!$A$4:$I$35,9,0)</f>
        <v>Stretch film</v>
      </c>
      <c r="N185" s="34" t="n">
        <f aca="false">IF(M185="Timber",F185*VLOOKUP(D185,'Data - Items'!$A$4:$H$35,8,0),0)</f>
        <v>0</v>
      </c>
    </row>
    <row r="186" customFormat="false" ht="15" hidden="false" customHeight="false" outlineLevel="0" collapsed="false">
      <c r="A186" s="20" t="n">
        <v>12089</v>
      </c>
      <c r="B186" s="22" t="n">
        <v>46128</v>
      </c>
      <c r="C186" s="20" t="s">
        <v>178</v>
      </c>
      <c r="D186" s="20" t="s">
        <v>341</v>
      </c>
      <c r="E186" s="20" t="s">
        <v>224</v>
      </c>
      <c r="F186" s="20" t="n">
        <v>12</v>
      </c>
      <c r="G186" s="20" t="s">
        <v>303</v>
      </c>
      <c r="H186" s="21" t="n">
        <v>510.9</v>
      </c>
      <c r="I186" s="21" t="n">
        <v>6130.8</v>
      </c>
      <c r="J186" s="20"/>
      <c r="K186" s="23" t="s">
        <v>178</v>
      </c>
      <c r="L186" s="20" t="n">
        <f aca="false">VLOOKUP(K186,'Job Costing'!$A$5:$B$23,2,0)</f>
        <v>3000</v>
      </c>
      <c r="M186" s="20" t="str">
        <f aca="false">VLOOKUP(D186,'Data - Items'!$A$4:$I$35,9,0)</f>
        <v>Timber</v>
      </c>
      <c r="N186" s="34" t="n">
        <f aca="false">IF(M186="Timber",F186*VLOOKUP(D186,'Data - Items'!$A$4:$H$35,8,0),0)</f>
        <v>8.26254</v>
      </c>
    </row>
    <row r="187" customFormat="false" ht="15" hidden="false" customHeight="false" outlineLevel="0" collapsed="false">
      <c r="A187" s="20" t="n">
        <v>12089</v>
      </c>
      <c r="B187" s="22" t="n">
        <v>46128</v>
      </c>
      <c r="C187" s="20" t="s">
        <v>178</v>
      </c>
      <c r="D187" s="20" t="s">
        <v>320</v>
      </c>
      <c r="E187" s="20" t="s">
        <v>204</v>
      </c>
      <c r="F187" s="20" t="n">
        <v>10</v>
      </c>
      <c r="G187" s="20" t="s">
        <v>303</v>
      </c>
      <c r="H187" s="21" t="n">
        <v>19.65</v>
      </c>
      <c r="I187" s="21" t="n">
        <v>196.5</v>
      </c>
      <c r="J187" s="20"/>
      <c r="K187" s="23" t="s">
        <v>178</v>
      </c>
      <c r="L187" s="20" t="n">
        <f aca="false">VLOOKUP(K187,'Job Costing'!$A$5:$B$23,2,0)</f>
        <v>3000</v>
      </c>
      <c r="M187" s="20" t="str">
        <f aca="false">VLOOKUP(D187,'Data - Items'!$A$4:$I$35,9,0)</f>
        <v>Timber</v>
      </c>
      <c r="N187" s="34" t="n">
        <f aca="false">IF(M187="Timber",F187*VLOOKUP(D187,'Data - Items'!$A$4:$H$35,8,0),0)</f>
        <v>0.264825</v>
      </c>
    </row>
    <row r="188" customFormat="false" ht="15" hidden="false" customHeight="false" outlineLevel="0" collapsed="false">
      <c r="A188" s="20" t="n">
        <v>12089</v>
      </c>
      <c r="B188" s="22" t="n">
        <v>46128</v>
      </c>
      <c r="C188" s="20" t="s">
        <v>178</v>
      </c>
      <c r="D188" s="20" t="s">
        <v>342</v>
      </c>
      <c r="E188" s="20" t="s">
        <v>225</v>
      </c>
      <c r="F188" s="20" t="n">
        <v>6</v>
      </c>
      <c r="G188" s="20" t="s">
        <v>303</v>
      </c>
      <c r="H188" s="21" t="n">
        <v>574.76</v>
      </c>
      <c r="I188" s="21" t="n">
        <v>3448.56</v>
      </c>
      <c r="J188" s="20"/>
      <c r="K188" s="23" t="s">
        <v>178</v>
      </c>
      <c r="L188" s="20" t="n">
        <f aca="false">VLOOKUP(K188,'Job Costing'!$A$5:$B$23,2,0)</f>
        <v>3000</v>
      </c>
      <c r="M188" s="20" t="str">
        <f aca="false">VLOOKUP(D188,'Data - Items'!$A$4:$I$35,9,0)</f>
        <v>Timber</v>
      </c>
      <c r="N188" s="34" t="n">
        <f aca="false">IF(M188="Timber",F188*VLOOKUP(D188,'Data - Items'!$A$4:$H$35,8,0),0)</f>
        <v>4.64767875</v>
      </c>
    </row>
    <row r="189" customFormat="false" ht="15" hidden="false" customHeight="false" outlineLevel="0" collapsed="false">
      <c r="A189" s="20" t="n">
        <v>12089</v>
      </c>
      <c r="B189" s="22" t="n">
        <v>46128</v>
      </c>
      <c r="C189" s="20" t="s">
        <v>178</v>
      </c>
      <c r="D189" s="20" t="s">
        <v>343</v>
      </c>
      <c r="E189" s="20" t="s">
        <v>226</v>
      </c>
      <c r="F189" s="20" t="n">
        <v>8</v>
      </c>
      <c r="G189" s="20" t="s">
        <v>303</v>
      </c>
      <c r="H189" s="21" t="n">
        <v>1208.47</v>
      </c>
      <c r="I189" s="21" t="n">
        <v>9667.76</v>
      </c>
      <c r="J189" s="20"/>
      <c r="K189" s="23" t="s">
        <v>178</v>
      </c>
      <c r="L189" s="20" t="n">
        <f aca="false">VLOOKUP(K189,'Job Costing'!$A$5:$B$23,2,0)</f>
        <v>3000</v>
      </c>
      <c r="M189" s="20" t="str">
        <f aca="false">VLOOKUP(D189,'Data - Items'!$A$4:$I$35,9,0)</f>
        <v>Timber</v>
      </c>
      <c r="N189" s="34" t="n">
        <f aca="false">IF(M189="Timber",F189*VLOOKUP(D189,'Data - Items'!$A$4:$H$35,8,0),0)</f>
        <v>13.02939</v>
      </c>
    </row>
    <row r="190" customFormat="false" ht="15" hidden="false" customHeight="false" outlineLevel="0" collapsed="false">
      <c r="A190" s="20" t="n">
        <v>12089</v>
      </c>
      <c r="B190" s="22" t="n">
        <v>46128</v>
      </c>
      <c r="C190" s="20" t="s">
        <v>178</v>
      </c>
      <c r="D190" s="20" t="s">
        <v>323</v>
      </c>
      <c r="E190" s="20" t="s">
        <v>220</v>
      </c>
      <c r="F190" s="20" t="n">
        <v>11</v>
      </c>
      <c r="G190" s="20" t="s">
        <v>303</v>
      </c>
      <c r="H190" s="21" t="n">
        <v>419.2</v>
      </c>
      <c r="I190" s="21" t="n">
        <v>4611.2</v>
      </c>
      <c r="J190" s="20"/>
      <c r="K190" s="23" t="s">
        <v>178</v>
      </c>
      <c r="L190" s="20" t="n">
        <f aca="false">VLOOKUP(K190,'Job Costing'!$A$5:$B$23,2,0)</f>
        <v>3000</v>
      </c>
      <c r="M190" s="20" t="str">
        <f aca="false">VLOOKUP(D190,'Data - Items'!$A$4:$I$35,9,0)</f>
        <v>Timber</v>
      </c>
      <c r="N190" s="34" t="n">
        <f aca="false">IF(M190="Timber",F190*VLOOKUP(D190,'Data - Items'!$A$4:$H$35,8,0),0)</f>
        <v>6.21456</v>
      </c>
    </row>
    <row r="191" customFormat="false" ht="15" hidden="false" customHeight="false" outlineLevel="0" collapsed="false">
      <c r="A191" s="20" t="n">
        <v>12108</v>
      </c>
      <c r="B191" s="22" t="n">
        <v>46134</v>
      </c>
      <c r="C191" s="20" t="s">
        <v>180</v>
      </c>
      <c r="D191" s="20" t="s">
        <v>298</v>
      </c>
      <c r="E191" s="20" t="s">
        <v>299</v>
      </c>
      <c r="F191" s="20" t="n">
        <v>6</v>
      </c>
      <c r="G191" s="20" t="s">
        <v>300</v>
      </c>
      <c r="H191" s="21" t="n">
        <v>680</v>
      </c>
      <c r="I191" s="21" t="n">
        <v>4080</v>
      </c>
      <c r="J191" s="20"/>
      <c r="K191" s="23" t="s">
        <v>180</v>
      </c>
      <c r="L191" s="20" t="n">
        <f aca="false">VLOOKUP(K191,'Job Costing'!$A$5:$B$23,2,0)</f>
        <v>2600</v>
      </c>
      <c r="M191" s="20" t="str">
        <f aca="false">VLOOKUP(D191,'Data - Items'!$A$4:$I$35,9,0)</f>
        <v>Bubble wrap</v>
      </c>
      <c r="N191" s="34" t="n">
        <f aca="false">IF(M191="Timber",F191*VLOOKUP(D191,'Data - Items'!$A$4:$H$35,8,0),0)</f>
        <v>0</v>
      </c>
    </row>
    <row r="192" customFormat="false" ht="15" hidden="false" customHeight="false" outlineLevel="0" collapsed="false">
      <c r="A192" s="20" t="n">
        <v>12108</v>
      </c>
      <c r="B192" s="22" t="n">
        <v>46134</v>
      </c>
      <c r="C192" s="20" t="s">
        <v>180</v>
      </c>
      <c r="D192" s="20" t="s">
        <v>301</v>
      </c>
      <c r="E192" s="20" t="s">
        <v>302</v>
      </c>
      <c r="F192" s="20" t="n">
        <v>7</v>
      </c>
      <c r="G192" s="20" t="s">
        <v>303</v>
      </c>
      <c r="H192" s="21" t="n">
        <v>78</v>
      </c>
      <c r="I192" s="21" t="n">
        <v>546</v>
      </c>
      <c r="J192" s="20"/>
      <c r="K192" s="23" t="s">
        <v>180</v>
      </c>
      <c r="L192" s="20" t="n">
        <f aca="false">VLOOKUP(K192,'Job Costing'!$A$5:$B$23,2,0)</f>
        <v>2600</v>
      </c>
      <c r="M192" s="20" t="str">
        <f aca="false">VLOOKUP(D192,'Data - Items'!$A$4:$I$35,9,0)</f>
        <v>Gum tape</v>
      </c>
      <c r="N192" s="34" t="n">
        <f aca="false">IF(M192="Timber",F192*VLOOKUP(D192,'Data - Items'!$A$4:$H$35,8,0),0)</f>
        <v>0</v>
      </c>
    </row>
    <row r="193" customFormat="false" ht="15" hidden="false" customHeight="false" outlineLevel="0" collapsed="false">
      <c r="A193" s="20" t="n">
        <v>12108</v>
      </c>
      <c r="B193" s="22" t="n">
        <v>46134</v>
      </c>
      <c r="C193" s="20" t="s">
        <v>180</v>
      </c>
      <c r="D193" s="20" t="s">
        <v>304</v>
      </c>
      <c r="E193" s="20" t="s">
        <v>305</v>
      </c>
      <c r="F193" s="20" t="n">
        <v>3250</v>
      </c>
      <c r="G193" s="20" t="s">
        <v>306</v>
      </c>
      <c r="H193" s="21" t="n">
        <v>5</v>
      </c>
      <c r="I193" s="21" t="n">
        <v>16250</v>
      </c>
      <c r="J193" s="20"/>
      <c r="K193" s="23" t="s">
        <v>180</v>
      </c>
      <c r="L193" s="20" t="n">
        <f aca="false">VLOOKUP(K193,'Job Costing'!$A$5:$B$23,2,0)</f>
        <v>2600</v>
      </c>
      <c r="M193" s="20" t="str">
        <f aca="false">VLOOKUP(D193,'Data - Items'!$A$4:$I$35,9,0)</f>
        <v>Tarpaulin</v>
      </c>
      <c r="N193" s="34" t="n">
        <f aca="false">IF(M193="Timber",F193*VLOOKUP(D193,'Data - Items'!$A$4:$H$35,8,0),0)</f>
        <v>0</v>
      </c>
    </row>
    <row r="194" customFormat="false" ht="15" hidden="false" customHeight="false" outlineLevel="0" collapsed="false">
      <c r="A194" s="20" t="n">
        <v>12108</v>
      </c>
      <c r="B194" s="22" t="n">
        <v>46134</v>
      </c>
      <c r="C194" s="20" t="s">
        <v>180</v>
      </c>
      <c r="D194" s="20" t="s">
        <v>307</v>
      </c>
      <c r="E194" s="20" t="s">
        <v>308</v>
      </c>
      <c r="F194" s="20" t="n">
        <v>4</v>
      </c>
      <c r="G194" s="20" t="s">
        <v>300</v>
      </c>
      <c r="H194" s="21" t="n">
        <v>2100</v>
      </c>
      <c r="I194" s="21" t="n">
        <v>8400</v>
      </c>
      <c r="J194" s="20"/>
      <c r="K194" s="23" t="s">
        <v>180</v>
      </c>
      <c r="L194" s="20" t="n">
        <f aca="false">VLOOKUP(K194,'Job Costing'!$A$5:$B$23,2,0)</f>
        <v>2600</v>
      </c>
      <c r="M194" s="20" t="str">
        <f aca="false">VLOOKUP(D194,'Data - Items'!$A$4:$I$35,9,0)</f>
        <v>Foam</v>
      </c>
      <c r="N194" s="34" t="n">
        <f aca="false">IF(M194="Timber",F194*VLOOKUP(D194,'Data - Items'!$A$4:$H$35,8,0),0)</f>
        <v>0</v>
      </c>
    </row>
    <row r="195" customFormat="false" ht="15" hidden="false" customHeight="false" outlineLevel="0" collapsed="false">
      <c r="A195" s="20" t="n">
        <v>12108</v>
      </c>
      <c r="B195" s="22" t="n">
        <v>46134</v>
      </c>
      <c r="C195" s="20" t="s">
        <v>180</v>
      </c>
      <c r="D195" s="20" t="s">
        <v>309</v>
      </c>
      <c r="E195" s="20" t="s">
        <v>310</v>
      </c>
      <c r="F195" s="20" t="n">
        <v>9</v>
      </c>
      <c r="G195" s="20" t="s">
        <v>311</v>
      </c>
      <c r="H195" s="21" t="n">
        <v>90</v>
      </c>
      <c r="I195" s="21" t="n">
        <v>810</v>
      </c>
      <c r="J195" s="20"/>
      <c r="K195" s="23" t="s">
        <v>180</v>
      </c>
      <c r="L195" s="20" t="n">
        <f aca="false">VLOOKUP(K195,'Job Costing'!$A$5:$B$23,2,0)</f>
        <v>2600</v>
      </c>
      <c r="M195" s="20" t="str">
        <f aca="false">VLOOKUP(D195,'Data - Items'!$A$4:$I$35,9,0)</f>
        <v>Nails</v>
      </c>
      <c r="N195" s="34" t="n">
        <f aca="false">IF(M195="Timber",F195*VLOOKUP(D195,'Data - Items'!$A$4:$H$35,8,0),0)</f>
        <v>0</v>
      </c>
    </row>
    <row r="196" customFormat="false" ht="15" hidden="false" customHeight="false" outlineLevel="0" collapsed="false">
      <c r="A196" s="20" t="n">
        <v>12108</v>
      </c>
      <c r="B196" s="22" t="n">
        <v>46134</v>
      </c>
      <c r="C196" s="20" t="s">
        <v>180</v>
      </c>
      <c r="D196" s="20" t="s">
        <v>312</v>
      </c>
      <c r="E196" s="20" t="s">
        <v>313</v>
      </c>
      <c r="F196" s="20" t="n">
        <v>17</v>
      </c>
      <c r="G196" s="20" t="s">
        <v>303</v>
      </c>
      <c r="H196" s="21" t="n">
        <v>160</v>
      </c>
      <c r="I196" s="21" t="n">
        <v>2720</v>
      </c>
      <c r="J196" s="20"/>
      <c r="K196" s="23" t="s">
        <v>180</v>
      </c>
      <c r="L196" s="20" t="n">
        <f aca="false">VLOOKUP(K196,'Job Costing'!$A$5:$B$23,2,0)</f>
        <v>2600</v>
      </c>
      <c r="M196" s="20" t="str">
        <f aca="false">VLOOKUP(D196,'Data - Items'!$A$4:$I$35,9,0)</f>
        <v>Ply cover</v>
      </c>
      <c r="N196" s="34" t="n">
        <f aca="false">IF(M196="Timber",F196*VLOOKUP(D196,'Data - Items'!$A$4:$H$35,8,0),0)</f>
        <v>0</v>
      </c>
    </row>
    <row r="197" customFormat="false" ht="15" hidden="false" customHeight="false" outlineLevel="0" collapsed="false">
      <c r="A197" s="20" t="n">
        <v>12108</v>
      </c>
      <c r="B197" s="22" t="n">
        <v>46134</v>
      </c>
      <c r="C197" s="20" t="s">
        <v>180</v>
      </c>
      <c r="D197" s="20" t="s">
        <v>314</v>
      </c>
      <c r="E197" s="20" t="s">
        <v>315</v>
      </c>
      <c r="F197" s="20" t="n">
        <v>16</v>
      </c>
      <c r="G197" s="20" t="s">
        <v>303</v>
      </c>
      <c r="H197" s="21" t="n">
        <v>900</v>
      </c>
      <c r="I197" s="21" t="n">
        <v>14400</v>
      </c>
      <c r="J197" s="20"/>
      <c r="K197" s="23" t="s">
        <v>180</v>
      </c>
      <c r="L197" s="20" t="n">
        <f aca="false">VLOOKUP(K197,'Job Costing'!$A$5:$B$23,2,0)</f>
        <v>2600</v>
      </c>
      <c r="M197" s="20" t="str">
        <f aca="false">VLOOKUP(D197,'Data - Items'!$A$4:$I$35,9,0)</f>
        <v>Ratchet belt</v>
      </c>
      <c r="N197" s="34" t="n">
        <f aca="false">IF(M197="Timber",F197*VLOOKUP(D197,'Data - Items'!$A$4:$H$35,8,0),0)</f>
        <v>0</v>
      </c>
    </row>
    <row r="198" customFormat="false" ht="15" hidden="false" customHeight="false" outlineLevel="0" collapsed="false">
      <c r="A198" s="20" t="n">
        <v>12108</v>
      </c>
      <c r="B198" s="22" t="n">
        <v>46134</v>
      </c>
      <c r="C198" s="20" t="s">
        <v>180</v>
      </c>
      <c r="D198" s="20" t="s">
        <v>316</v>
      </c>
      <c r="E198" s="20" t="s">
        <v>317</v>
      </c>
      <c r="F198" s="20" t="n">
        <v>19.9</v>
      </c>
      <c r="G198" s="20" t="s">
        <v>318</v>
      </c>
      <c r="H198" s="21" t="n">
        <v>166</v>
      </c>
      <c r="I198" s="21" t="n">
        <v>3303.4</v>
      </c>
      <c r="J198" s="20"/>
      <c r="K198" s="23" t="s">
        <v>180</v>
      </c>
      <c r="L198" s="20" t="n">
        <f aca="false">VLOOKUP(K198,'Job Costing'!$A$5:$B$23,2,0)</f>
        <v>2600</v>
      </c>
      <c r="M198" s="20" t="str">
        <f aca="false">VLOOKUP(D198,'Data - Items'!$A$4:$I$35,9,0)</f>
        <v>Stretch film</v>
      </c>
      <c r="N198" s="34" t="n">
        <f aca="false">IF(M198="Timber",F198*VLOOKUP(D198,'Data - Items'!$A$4:$H$35,8,0),0)</f>
        <v>0</v>
      </c>
    </row>
    <row r="199" customFormat="false" ht="15" hidden="false" customHeight="false" outlineLevel="0" collapsed="false">
      <c r="A199" s="20" t="n">
        <v>12108</v>
      </c>
      <c r="B199" s="22" t="n">
        <v>46134</v>
      </c>
      <c r="C199" s="20" t="s">
        <v>180</v>
      </c>
      <c r="D199" s="20" t="s">
        <v>319</v>
      </c>
      <c r="E199" s="20" t="s">
        <v>221</v>
      </c>
      <c r="F199" s="20" t="n">
        <v>30</v>
      </c>
      <c r="G199" s="20" t="s">
        <v>303</v>
      </c>
      <c r="H199" s="21" t="n">
        <v>445.4</v>
      </c>
      <c r="I199" s="21" t="n">
        <v>13362</v>
      </c>
      <c r="J199" s="20"/>
      <c r="K199" s="23" t="s">
        <v>180</v>
      </c>
      <c r="L199" s="20" t="n">
        <f aca="false">VLOOKUP(K199,'Job Costing'!$A$5:$B$23,2,0)</f>
        <v>2600</v>
      </c>
      <c r="M199" s="20" t="str">
        <f aca="false">VLOOKUP(D199,'Data - Items'!$A$4:$I$35,9,0)</f>
        <v>Timber</v>
      </c>
      <c r="N199" s="34" t="n">
        <f aca="false">IF(M199="Timber",F199*VLOOKUP(D199,'Data - Items'!$A$4:$H$35,8,0),0)</f>
        <v>18.0081</v>
      </c>
    </row>
    <row r="200" customFormat="false" ht="15" hidden="false" customHeight="false" outlineLevel="0" collapsed="false">
      <c r="A200" s="20" t="n">
        <v>12108</v>
      </c>
      <c r="B200" s="22" t="n">
        <v>46134</v>
      </c>
      <c r="C200" s="20" t="s">
        <v>180</v>
      </c>
      <c r="D200" s="20" t="s">
        <v>320</v>
      </c>
      <c r="E200" s="20" t="s">
        <v>204</v>
      </c>
      <c r="F200" s="20" t="n">
        <v>25</v>
      </c>
      <c r="G200" s="20" t="s">
        <v>303</v>
      </c>
      <c r="H200" s="21" t="n">
        <v>19.65</v>
      </c>
      <c r="I200" s="21" t="n">
        <v>491.25</v>
      </c>
      <c r="J200" s="20"/>
      <c r="K200" s="23" t="s">
        <v>180</v>
      </c>
      <c r="L200" s="20" t="n">
        <f aca="false">VLOOKUP(K200,'Job Costing'!$A$5:$B$23,2,0)</f>
        <v>2600</v>
      </c>
      <c r="M200" s="20" t="str">
        <f aca="false">VLOOKUP(D200,'Data - Items'!$A$4:$I$35,9,0)</f>
        <v>Timber</v>
      </c>
      <c r="N200" s="34" t="n">
        <f aca="false">IF(M200="Timber",F200*VLOOKUP(D200,'Data - Items'!$A$4:$H$35,8,0),0)</f>
        <v>0.6620625</v>
      </c>
    </row>
    <row r="201" customFormat="false" ht="15" hidden="false" customHeight="false" outlineLevel="0" collapsed="false">
      <c r="A201" s="20" t="n">
        <v>12108</v>
      </c>
      <c r="B201" s="22" t="n">
        <v>46134</v>
      </c>
      <c r="C201" s="20" t="s">
        <v>180</v>
      </c>
      <c r="D201" s="20" t="s">
        <v>321</v>
      </c>
      <c r="E201" s="20" t="s">
        <v>222</v>
      </c>
      <c r="F201" s="20" t="n">
        <v>13</v>
      </c>
      <c r="G201" s="20" t="s">
        <v>303</v>
      </c>
      <c r="H201" s="21" t="n">
        <v>501.07</v>
      </c>
      <c r="I201" s="21" t="n">
        <v>6513.91</v>
      </c>
      <c r="J201" s="20"/>
      <c r="K201" s="23" t="s">
        <v>180</v>
      </c>
      <c r="L201" s="20" t="n">
        <f aca="false">VLOOKUP(K201,'Job Costing'!$A$5:$B$23,2,0)</f>
        <v>2600</v>
      </c>
      <c r="M201" s="20" t="str">
        <f aca="false">VLOOKUP(D201,'Data - Items'!$A$4:$I$35,9,0)</f>
        <v>Timber</v>
      </c>
      <c r="N201" s="34" t="n">
        <f aca="false">IF(M201="Timber",F201*VLOOKUP(D201,'Data - Items'!$A$4:$H$35,8,0),0)</f>
        <v>8.77894875</v>
      </c>
    </row>
    <row r="202" customFormat="false" ht="15" hidden="false" customHeight="false" outlineLevel="0" collapsed="false">
      <c r="A202" s="20" t="n">
        <v>12108</v>
      </c>
      <c r="B202" s="22" t="n">
        <v>46134</v>
      </c>
      <c r="C202" s="20" t="s">
        <v>180</v>
      </c>
      <c r="D202" s="20" t="s">
        <v>322</v>
      </c>
      <c r="E202" s="20" t="s">
        <v>223</v>
      </c>
      <c r="F202" s="20" t="n">
        <v>19</v>
      </c>
      <c r="G202" s="20" t="s">
        <v>303</v>
      </c>
      <c r="H202" s="21" t="n">
        <v>1105.31</v>
      </c>
      <c r="I202" s="21" t="n">
        <v>21000.89</v>
      </c>
      <c r="J202" s="20"/>
      <c r="K202" s="23" t="s">
        <v>180</v>
      </c>
      <c r="L202" s="20" t="n">
        <f aca="false">VLOOKUP(K202,'Job Costing'!$A$5:$B$23,2,0)</f>
        <v>2600</v>
      </c>
      <c r="M202" s="20" t="str">
        <f aca="false">VLOOKUP(D202,'Data - Items'!$A$4:$I$35,9,0)</f>
        <v>Timber</v>
      </c>
      <c r="N202" s="34" t="n">
        <f aca="false">IF(M202="Timber",F202*VLOOKUP(D202,'Data - Items'!$A$4:$H$35,8,0),0)</f>
        <v>28.303171875</v>
      </c>
    </row>
    <row r="203" customFormat="false" ht="15" hidden="false" customHeight="false" outlineLevel="0" collapsed="false">
      <c r="A203" s="20" t="n">
        <v>12108</v>
      </c>
      <c r="B203" s="22" t="n">
        <v>46134</v>
      </c>
      <c r="C203" s="20" t="s">
        <v>180</v>
      </c>
      <c r="D203" s="20" t="s">
        <v>323</v>
      </c>
      <c r="E203" s="20" t="s">
        <v>220</v>
      </c>
      <c r="F203" s="20" t="n">
        <v>28</v>
      </c>
      <c r="G203" s="20" t="s">
        <v>303</v>
      </c>
      <c r="H203" s="21" t="n">
        <v>419.2</v>
      </c>
      <c r="I203" s="21" t="n">
        <v>11737.6</v>
      </c>
      <c r="J203" s="20"/>
      <c r="K203" s="23" t="s">
        <v>180</v>
      </c>
      <c r="L203" s="20" t="n">
        <f aca="false">VLOOKUP(K203,'Job Costing'!$A$5:$B$23,2,0)</f>
        <v>2600</v>
      </c>
      <c r="M203" s="20" t="str">
        <f aca="false">VLOOKUP(D203,'Data - Items'!$A$4:$I$35,9,0)</f>
        <v>Timber</v>
      </c>
      <c r="N203" s="34" t="n">
        <f aca="false">IF(M203="Timber",F203*VLOOKUP(D203,'Data - Items'!$A$4:$H$35,8,0),0)</f>
        <v>15.81888</v>
      </c>
    </row>
    <row r="204" customFormat="false" ht="15" hidden="false" customHeight="false" outlineLevel="0" collapsed="false">
      <c r="A204" s="20" t="n">
        <v>12128</v>
      </c>
      <c r="B204" s="22" t="n">
        <v>46155</v>
      </c>
      <c r="C204" s="20" t="s">
        <v>181</v>
      </c>
      <c r="D204" s="20" t="s">
        <v>298</v>
      </c>
      <c r="E204" s="20" t="s">
        <v>299</v>
      </c>
      <c r="F204" s="20" t="n">
        <v>4</v>
      </c>
      <c r="G204" s="20" t="s">
        <v>300</v>
      </c>
      <c r="H204" s="21" t="n">
        <v>680</v>
      </c>
      <c r="I204" s="21" t="n">
        <v>2720</v>
      </c>
      <c r="J204" s="20"/>
      <c r="K204" s="23" t="s">
        <v>181</v>
      </c>
      <c r="L204" s="20" t="n">
        <f aca="false">VLOOKUP(K204,'Job Costing'!$A$5:$B$23,2,0)</f>
        <v>2400</v>
      </c>
      <c r="M204" s="20" t="str">
        <f aca="false">VLOOKUP(D204,'Data - Items'!$A$4:$I$35,9,0)</f>
        <v>Bubble wrap</v>
      </c>
      <c r="N204" s="34" t="n">
        <f aca="false">IF(M204="Timber",F204*VLOOKUP(D204,'Data - Items'!$A$4:$H$35,8,0),0)</f>
        <v>0</v>
      </c>
    </row>
    <row r="205" customFormat="false" ht="15" hidden="false" customHeight="false" outlineLevel="0" collapsed="false">
      <c r="A205" s="20" t="n">
        <v>12128</v>
      </c>
      <c r="B205" s="22" t="n">
        <v>46155</v>
      </c>
      <c r="C205" s="20" t="s">
        <v>181</v>
      </c>
      <c r="D205" s="20" t="s">
        <v>301</v>
      </c>
      <c r="E205" s="20" t="s">
        <v>302</v>
      </c>
      <c r="F205" s="20" t="n">
        <v>5</v>
      </c>
      <c r="G205" s="20" t="s">
        <v>303</v>
      </c>
      <c r="H205" s="21" t="n">
        <v>78</v>
      </c>
      <c r="I205" s="21" t="n">
        <v>390</v>
      </c>
      <c r="J205" s="20"/>
      <c r="K205" s="23" t="s">
        <v>181</v>
      </c>
      <c r="L205" s="20" t="n">
        <f aca="false">VLOOKUP(K205,'Job Costing'!$A$5:$B$23,2,0)</f>
        <v>2400</v>
      </c>
      <c r="M205" s="20" t="str">
        <f aca="false">VLOOKUP(D205,'Data - Items'!$A$4:$I$35,9,0)</f>
        <v>Gum tape</v>
      </c>
      <c r="N205" s="34" t="n">
        <f aca="false">IF(M205="Timber",F205*VLOOKUP(D205,'Data - Items'!$A$4:$H$35,8,0),0)</f>
        <v>0</v>
      </c>
    </row>
    <row r="206" customFormat="false" ht="15" hidden="false" customHeight="false" outlineLevel="0" collapsed="false">
      <c r="A206" s="20" t="n">
        <v>12128</v>
      </c>
      <c r="B206" s="22" t="n">
        <v>46155</v>
      </c>
      <c r="C206" s="20" t="s">
        <v>181</v>
      </c>
      <c r="D206" s="20" t="s">
        <v>304</v>
      </c>
      <c r="E206" s="20" t="s">
        <v>305</v>
      </c>
      <c r="F206" s="20" t="n">
        <v>2000</v>
      </c>
      <c r="G206" s="20" t="s">
        <v>306</v>
      </c>
      <c r="H206" s="21" t="n">
        <v>5</v>
      </c>
      <c r="I206" s="21" t="n">
        <v>10000</v>
      </c>
      <c r="J206" s="20"/>
      <c r="K206" s="23" t="s">
        <v>181</v>
      </c>
      <c r="L206" s="20" t="n">
        <f aca="false">VLOOKUP(K206,'Job Costing'!$A$5:$B$23,2,0)</f>
        <v>2400</v>
      </c>
      <c r="M206" s="20" t="str">
        <f aca="false">VLOOKUP(D206,'Data - Items'!$A$4:$I$35,9,0)</f>
        <v>Tarpaulin</v>
      </c>
      <c r="N206" s="34" t="n">
        <f aca="false">IF(M206="Timber",F206*VLOOKUP(D206,'Data - Items'!$A$4:$H$35,8,0),0)</f>
        <v>0</v>
      </c>
    </row>
    <row r="207" customFormat="false" ht="15" hidden="false" customHeight="false" outlineLevel="0" collapsed="false">
      <c r="A207" s="20" t="n">
        <v>12128</v>
      </c>
      <c r="B207" s="22" t="n">
        <v>46155</v>
      </c>
      <c r="C207" s="20" t="s">
        <v>181</v>
      </c>
      <c r="D207" s="20" t="s">
        <v>307</v>
      </c>
      <c r="E207" s="20" t="s">
        <v>308</v>
      </c>
      <c r="F207" s="20" t="n">
        <v>3</v>
      </c>
      <c r="G207" s="20" t="s">
        <v>300</v>
      </c>
      <c r="H207" s="21" t="n">
        <v>2100</v>
      </c>
      <c r="I207" s="21" t="n">
        <v>6300</v>
      </c>
      <c r="J207" s="20"/>
      <c r="K207" s="23" t="s">
        <v>181</v>
      </c>
      <c r="L207" s="20" t="n">
        <f aca="false">VLOOKUP(K207,'Job Costing'!$A$5:$B$23,2,0)</f>
        <v>2400</v>
      </c>
      <c r="M207" s="20" t="str">
        <f aca="false">VLOOKUP(D207,'Data - Items'!$A$4:$I$35,9,0)</f>
        <v>Foam</v>
      </c>
      <c r="N207" s="34" t="n">
        <f aca="false">IF(M207="Timber",F207*VLOOKUP(D207,'Data - Items'!$A$4:$H$35,8,0),0)</f>
        <v>0</v>
      </c>
    </row>
    <row r="208" customFormat="false" ht="15" hidden="false" customHeight="false" outlineLevel="0" collapsed="false">
      <c r="A208" s="20" t="n">
        <v>12128</v>
      </c>
      <c r="B208" s="22" t="n">
        <v>46155</v>
      </c>
      <c r="C208" s="20" t="s">
        <v>181</v>
      </c>
      <c r="D208" s="20" t="s">
        <v>309</v>
      </c>
      <c r="E208" s="20" t="s">
        <v>310</v>
      </c>
      <c r="F208" s="20" t="n">
        <v>7</v>
      </c>
      <c r="G208" s="20" t="s">
        <v>311</v>
      </c>
      <c r="H208" s="21" t="n">
        <v>90</v>
      </c>
      <c r="I208" s="21" t="n">
        <v>630</v>
      </c>
      <c r="J208" s="20"/>
      <c r="K208" s="23" t="s">
        <v>181</v>
      </c>
      <c r="L208" s="20" t="n">
        <f aca="false">VLOOKUP(K208,'Job Costing'!$A$5:$B$23,2,0)</f>
        <v>2400</v>
      </c>
      <c r="M208" s="20" t="str">
        <f aca="false">VLOOKUP(D208,'Data - Items'!$A$4:$I$35,9,0)</f>
        <v>Nails</v>
      </c>
      <c r="N208" s="34" t="n">
        <f aca="false">IF(M208="Timber",F208*VLOOKUP(D208,'Data - Items'!$A$4:$H$35,8,0),0)</f>
        <v>0</v>
      </c>
    </row>
    <row r="209" customFormat="false" ht="15" hidden="false" customHeight="false" outlineLevel="0" collapsed="false">
      <c r="A209" s="20" t="n">
        <v>12128</v>
      </c>
      <c r="B209" s="22" t="n">
        <v>46155</v>
      </c>
      <c r="C209" s="20" t="s">
        <v>181</v>
      </c>
      <c r="D209" s="20" t="s">
        <v>312</v>
      </c>
      <c r="E209" s="20" t="s">
        <v>313</v>
      </c>
      <c r="F209" s="20" t="n">
        <v>16</v>
      </c>
      <c r="G209" s="20" t="s">
        <v>303</v>
      </c>
      <c r="H209" s="21" t="n">
        <v>160</v>
      </c>
      <c r="I209" s="21" t="n">
        <v>2560</v>
      </c>
      <c r="J209" s="20"/>
      <c r="K209" s="23" t="s">
        <v>181</v>
      </c>
      <c r="L209" s="20" t="n">
        <f aca="false">VLOOKUP(K209,'Job Costing'!$A$5:$B$23,2,0)</f>
        <v>2400</v>
      </c>
      <c r="M209" s="20" t="str">
        <f aca="false">VLOOKUP(D209,'Data - Items'!$A$4:$I$35,9,0)</f>
        <v>Ply cover</v>
      </c>
      <c r="N209" s="34" t="n">
        <f aca="false">IF(M209="Timber",F209*VLOOKUP(D209,'Data - Items'!$A$4:$H$35,8,0),0)</f>
        <v>0</v>
      </c>
    </row>
    <row r="210" customFormat="false" ht="15" hidden="false" customHeight="false" outlineLevel="0" collapsed="false">
      <c r="A210" s="20" t="n">
        <v>12128</v>
      </c>
      <c r="B210" s="22" t="n">
        <v>46155</v>
      </c>
      <c r="C210" s="20" t="s">
        <v>181</v>
      </c>
      <c r="D210" s="20" t="s">
        <v>314</v>
      </c>
      <c r="E210" s="20" t="s">
        <v>315</v>
      </c>
      <c r="F210" s="20" t="n">
        <v>8</v>
      </c>
      <c r="G210" s="20" t="s">
        <v>303</v>
      </c>
      <c r="H210" s="21" t="n">
        <v>900</v>
      </c>
      <c r="I210" s="21" t="n">
        <v>7200</v>
      </c>
      <c r="J210" s="20"/>
      <c r="K210" s="23" t="s">
        <v>181</v>
      </c>
      <c r="L210" s="20" t="n">
        <f aca="false">VLOOKUP(K210,'Job Costing'!$A$5:$B$23,2,0)</f>
        <v>2400</v>
      </c>
      <c r="M210" s="20" t="str">
        <f aca="false">VLOOKUP(D210,'Data - Items'!$A$4:$I$35,9,0)</f>
        <v>Ratchet belt</v>
      </c>
      <c r="N210" s="34" t="n">
        <f aca="false">IF(M210="Timber",F210*VLOOKUP(D210,'Data - Items'!$A$4:$H$35,8,0),0)</f>
        <v>0</v>
      </c>
    </row>
    <row r="211" customFormat="false" ht="15" hidden="false" customHeight="false" outlineLevel="0" collapsed="false">
      <c r="A211" s="20" t="n">
        <v>12128</v>
      </c>
      <c r="B211" s="22" t="n">
        <v>46155</v>
      </c>
      <c r="C211" s="20" t="s">
        <v>181</v>
      </c>
      <c r="D211" s="20" t="s">
        <v>316</v>
      </c>
      <c r="E211" s="20" t="s">
        <v>317</v>
      </c>
      <c r="F211" s="20" t="n">
        <v>18.3</v>
      </c>
      <c r="G211" s="20" t="s">
        <v>318</v>
      </c>
      <c r="H211" s="21" t="n">
        <v>166</v>
      </c>
      <c r="I211" s="21" t="n">
        <v>3037.8</v>
      </c>
      <c r="J211" s="20"/>
      <c r="K211" s="23" t="s">
        <v>181</v>
      </c>
      <c r="L211" s="20" t="n">
        <f aca="false">VLOOKUP(K211,'Job Costing'!$A$5:$B$23,2,0)</f>
        <v>2400</v>
      </c>
      <c r="M211" s="20" t="str">
        <f aca="false">VLOOKUP(D211,'Data - Items'!$A$4:$I$35,9,0)</f>
        <v>Stretch film</v>
      </c>
      <c r="N211" s="34" t="n">
        <f aca="false">IF(M211="Timber",F211*VLOOKUP(D211,'Data - Items'!$A$4:$H$35,8,0),0)</f>
        <v>0</v>
      </c>
    </row>
    <row r="212" customFormat="false" ht="15" hidden="false" customHeight="false" outlineLevel="0" collapsed="false">
      <c r="A212" s="20" t="n">
        <v>12128</v>
      </c>
      <c r="B212" s="22" t="n">
        <v>46155</v>
      </c>
      <c r="C212" s="20" t="s">
        <v>181</v>
      </c>
      <c r="D212" s="20" t="s">
        <v>324</v>
      </c>
      <c r="E212" s="20" t="s">
        <v>217</v>
      </c>
      <c r="F212" s="20" t="n">
        <v>15</v>
      </c>
      <c r="G212" s="20" t="s">
        <v>303</v>
      </c>
      <c r="H212" s="21" t="n">
        <v>406.1</v>
      </c>
      <c r="I212" s="21" t="n">
        <v>6091.5</v>
      </c>
      <c r="J212" s="20"/>
      <c r="K212" s="23" t="s">
        <v>181</v>
      </c>
      <c r="L212" s="20" t="n">
        <f aca="false">VLOOKUP(K212,'Job Costing'!$A$5:$B$23,2,0)</f>
        <v>2400</v>
      </c>
      <c r="M212" s="20" t="str">
        <f aca="false">VLOOKUP(D212,'Data - Items'!$A$4:$I$35,9,0)</f>
        <v>Timber</v>
      </c>
      <c r="N212" s="34" t="n">
        <f aca="false">IF(M212="Timber",F212*VLOOKUP(D212,'Data - Items'!$A$4:$H$35,8,0),0)</f>
        <v>8.209575</v>
      </c>
    </row>
    <row r="213" customFormat="false" ht="15" hidden="false" customHeight="false" outlineLevel="0" collapsed="false">
      <c r="A213" s="20" t="n">
        <v>12128</v>
      </c>
      <c r="B213" s="22" t="n">
        <v>46155</v>
      </c>
      <c r="C213" s="20" t="s">
        <v>181</v>
      </c>
      <c r="D213" s="20" t="s">
        <v>320</v>
      </c>
      <c r="E213" s="20" t="s">
        <v>204</v>
      </c>
      <c r="F213" s="20" t="n">
        <v>18</v>
      </c>
      <c r="G213" s="20" t="s">
        <v>303</v>
      </c>
      <c r="H213" s="21" t="n">
        <v>19.65</v>
      </c>
      <c r="I213" s="21" t="n">
        <v>353.7</v>
      </c>
      <c r="J213" s="20"/>
      <c r="K213" s="23" t="s">
        <v>181</v>
      </c>
      <c r="L213" s="20" t="n">
        <f aca="false">VLOOKUP(K213,'Job Costing'!$A$5:$B$23,2,0)</f>
        <v>2400</v>
      </c>
      <c r="M213" s="20" t="str">
        <f aca="false">VLOOKUP(D213,'Data - Items'!$A$4:$I$35,9,0)</f>
        <v>Timber</v>
      </c>
      <c r="N213" s="34" t="n">
        <f aca="false">IF(M213="Timber",F213*VLOOKUP(D213,'Data - Items'!$A$4:$H$35,8,0),0)</f>
        <v>0.476685</v>
      </c>
    </row>
    <row r="214" customFormat="false" ht="15" hidden="false" customHeight="false" outlineLevel="0" collapsed="false">
      <c r="A214" s="20" t="n">
        <v>12128</v>
      </c>
      <c r="B214" s="22" t="n">
        <v>46155</v>
      </c>
      <c r="C214" s="20" t="s">
        <v>181</v>
      </c>
      <c r="D214" s="20" t="s">
        <v>325</v>
      </c>
      <c r="E214" s="20" t="s">
        <v>218</v>
      </c>
      <c r="F214" s="20" t="n">
        <v>11</v>
      </c>
      <c r="G214" s="20" t="s">
        <v>303</v>
      </c>
      <c r="H214" s="21" t="n">
        <v>456.86</v>
      </c>
      <c r="I214" s="21" t="n">
        <v>5025.46</v>
      </c>
      <c r="J214" s="20"/>
      <c r="K214" s="23" t="s">
        <v>181</v>
      </c>
      <c r="L214" s="20" t="n">
        <f aca="false">VLOOKUP(K214,'Job Costing'!$A$5:$B$23,2,0)</f>
        <v>2400</v>
      </c>
      <c r="M214" s="20" t="str">
        <f aca="false">VLOOKUP(D214,'Data - Items'!$A$4:$I$35,9,0)</f>
        <v>Timber</v>
      </c>
      <c r="N214" s="34" t="n">
        <f aca="false">IF(M214="Timber",F214*VLOOKUP(D214,'Data - Items'!$A$4:$H$35,8,0),0)</f>
        <v>6.772899375</v>
      </c>
    </row>
    <row r="215" customFormat="false" ht="15" hidden="false" customHeight="false" outlineLevel="0" collapsed="false">
      <c r="A215" s="20" t="n">
        <v>12128</v>
      </c>
      <c r="B215" s="22" t="n">
        <v>46155</v>
      </c>
      <c r="C215" s="20" t="s">
        <v>181</v>
      </c>
      <c r="D215" s="20" t="s">
        <v>326</v>
      </c>
      <c r="E215" s="20" t="s">
        <v>219</v>
      </c>
      <c r="F215" s="20" t="n">
        <v>13</v>
      </c>
      <c r="G215" s="20" t="s">
        <v>303</v>
      </c>
      <c r="H215" s="21" t="n">
        <v>1046.36</v>
      </c>
      <c r="I215" s="21" t="n">
        <v>13602.68</v>
      </c>
      <c r="J215" s="20"/>
      <c r="K215" s="23" t="s">
        <v>181</v>
      </c>
      <c r="L215" s="20" t="n">
        <f aca="false">VLOOKUP(K215,'Job Costing'!$A$5:$B$23,2,0)</f>
        <v>2400</v>
      </c>
      <c r="M215" s="20" t="str">
        <f aca="false">VLOOKUP(D215,'Data - Items'!$A$4:$I$35,9,0)</f>
        <v>Timber</v>
      </c>
      <c r="N215" s="34" t="n">
        <f aca="false">IF(M215="Timber",F215*VLOOKUP(D215,'Data - Items'!$A$4:$H$35,8,0),0)</f>
        <v>18.332510625</v>
      </c>
    </row>
    <row r="216" customFormat="false" ht="15" hidden="false" customHeight="false" outlineLevel="0" collapsed="false">
      <c r="A216" s="20" t="n">
        <v>12128</v>
      </c>
      <c r="B216" s="22" t="n">
        <v>46155</v>
      </c>
      <c r="C216" s="20" t="s">
        <v>181</v>
      </c>
      <c r="D216" s="20" t="s">
        <v>323</v>
      </c>
      <c r="E216" s="20" t="s">
        <v>220</v>
      </c>
      <c r="F216" s="20" t="n">
        <v>14</v>
      </c>
      <c r="G216" s="20" t="s">
        <v>303</v>
      </c>
      <c r="H216" s="21" t="n">
        <v>419.2</v>
      </c>
      <c r="I216" s="21" t="n">
        <v>5868.8</v>
      </c>
      <c r="J216" s="20"/>
      <c r="K216" s="23" t="s">
        <v>181</v>
      </c>
      <c r="L216" s="20" t="n">
        <f aca="false">VLOOKUP(K216,'Job Costing'!$A$5:$B$23,2,0)</f>
        <v>2400</v>
      </c>
      <c r="M216" s="20" t="str">
        <f aca="false">VLOOKUP(D216,'Data - Items'!$A$4:$I$35,9,0)</f>
        <v>Timber</v>
      </c>
      <c r="N216" s="34" t="n">
        <f aca="false">IF(M216="Timber",F216*VLOOKUP(D216,'Data - Items'!$A$4:$H$35,8,0),0)</f>
        <v>7.90944</v>
      </c>
    </row>
    <row r="217" customFormat="false" ht="15" hidden="false" customHeight="false" outlineLevel="0" collapsed="false">
      <c r="A217" s="20" t="n">
        <v>12134</v>
      </c>
      <c r="B217" s="22" t="n">
        <v>46156</v>
      </c>
      <c r="C217" s="20" t="s">
        <v>181</v>
      </c>
      <c r="D217" s="20" t="s">
        <v>307</v>
      </c>
      <c r="E217" s="20" t="s">
        <v>308</v>
      </c>
      <c r="F217" s="20" t="n">
        <v>1</v>
      </c>
      <c r="G217" s="20" t="s">
        <v>300</v>
      </c>
      <c r="H217" s="21" t="n">
        <v>2100</v>
      </c>
      <c r="I217" s="21" t="n">
        <v>2100</v>
      </c>
      <c r="J217" s="20" t="s">
        <v>345</v>
      </c>
      <c r="K217" s="23" t="s">
        <v>181</v>
      </c>
      <c r="L217" s="20" t="n">
        <f aca="false">VLOOKUP(K217,'Job Costing'!$A$5:$B$23,2,0)</f>
        <v>2400</v>
      </c>
      <c r="M217" s="20" t="str">
        <f aca="false">VLOOKUP(D217,'Data - Items'!$A$4:$I$35,9,0)</f>
        <v>Foam</v>
      </c>
      <c r="N217" s="34" t="n">
        <f aca="false">IF(M217="Timber",F217*VLOOKUP(D217,'Data - Items'!$A$4:$H$35,8,0),0)</f>
        <v>0</v>
      </c>
    </row>
    <row r="218" customFormat="false" ht="15" hidden="false" customHeight="false" outlineLevel="0" collapsed="false">
      <c r="A218" s="20" t="n">
        <v>12142</v>
      </c>
      <c r="B218" s="22" t="n">
        <v>46176</v>
      </c>
      <c r="C218" s="20" t="s">
        <v>182</v>
      </c>
      <c r="D218" s="20" t="s">
        <v>298</v>
      </c>
      <c r="E218" s="20" t="s">
        <v>299</v>
      </c>
      <c r="F218" s="20" t="n">
        <v>1</v>
      </c>
      <c r="G218" s="20" t="s">
        <v>300</v>
      </c>
      <c r="H218" s="21" t="n">
        <v>680</v>
      </c>
      <c r="I218" s="21" t="n">
        <v>680</v>
      </c>
      <c r="J218" s="20"/>
      <c r="K218" s="23" t="s">
        <v>182</v>
      </c>
      <c r="L218" s="20" t="n">
        <f aca="false">VLOOKUP(K218,'Job Costing'!$A$5:$B$23,2,0)</f>
        <v>1600</v>
      </c>
      <c r="M218" s="20" t="str">
        <f aca="false">VLOOKUP(D218,'Data - Items'!$A$4:$I$35,9,0)</f>
        <v>Bubble wrap</v>
      </c>
      <c r="N218" s="34" t="n">
        <f aca="false">IF(M218="Timber",F218*VLOOKUP(D218,'Data - Items'!$A$4:$H$35,8,0),0)</f>
        <v>0</v>
      </c>
    </row>
    <row r="219" customFormat="false" ht="15" hidden="false" customHeight="false" outlineLevel="0" collapsed="false">
      <c r="A219" s="20" t="n">
        <v>12142</v>
      </c>
      <c r="B219" s="22" t="n">
        <v>46176</v>
      </c>
      <c r="C219" s="20" t="s">
        <v>182</v>
      </c>
      <c r="D219" s="20" t="s">
        <v>301</v>
      </c>
      <c r="E219" s="20" t="s">
        <v>302</v>
      </c>
      <c r="F219" s="20" t="n">
        <v>1</v>
      </c>
      <c r="G219" s="20" t="s">
        <v>303</v>
      </c>
      <c r="H219" s="21" t="n">
        <v>78</v>
      </c>
      <c r="I219" s="21" t="n">
        <v>78</v>
      </c>
      <c r="J219" s="20"/>
      <c r="K219" s="23" t="s">
        <v>182</v>
      </c>
      <c r="L219" s="20" t="n">
        <f aca="false">VLOOKUP(K219,'Job Costing'!$A$5:$B$23,2,0)</f>
        <v>1600</v>
      </c>
      <c r="M219" s="20" t="str">
        <f aca="false">VLOOKUP(D219,'Data - Items'!$A$4:$I$35,9,0)</f>
        <v>Gum tape</v>
      </c>
      <c r="N219" s="34" t="n">
        <f aca="false">IF(M219="Timber",F219*VLOOKUP(D219,'Data - Items'!$A$4:$H$35,8,0),0)</f>
        <v>0</v>
      </c>
    </row>
    <row r="220" customFormat="false" ht="15" hidden="false" customHeight="false" outlineLevel="0" collapsed="false">
      <c r="A220" s="20" t="n">
        <v>12142</v>
      </c>
      <c r="B220" s="22" t="n">
        <v>46176</v>
      </c>
      <c r="C220" s="20" t="s">
        <v>182</v>
      </c>
      <c r="D220" s="20" t="s">
        <v>307</v>
      </c>
      <c r="E220" s="20" t="s">
        <v>308</v>
      </c>
      <c r="F220" s="20" t="n">
        <v>1</v>
      </c>
      <c r="G220" s="20" t="s">
        <v>300</v>
      </c>
      <c r="H220" s="21" t="n">
        <v>2100</v>
      </c>
      <c r="I220" s="21" t="n">
        <v>2100</v>
      </c>
      <c r="J220" s="20"/>
      <c r="K220" s="23" t="s">
        <v>182</v>
      </c>
      <c r="L220" s="20" t="n">
        <f aca="false">VLOOKUP(K220,'Job Costing'!$A$5:$B$23,2,0)</f>
        <v>1600</v>
      </c>
      <c r="M220" s="20" t="str">
        <f aca="false">VLOOKUP(D220,'Data - Items'!$A$4:$I$35,9,0)</f>
        <v>Foam</v>
      </c>
      <c r="N220" s="34" t="n">
        <f aca="false">IF(M220="Timber",F220*VLOOKUP(D220,'Data - Items'!$A$4:$H$35,8,0),0)</f>
        <v>0</v>
      </c>
    </row>
    <row r="221" customFormat="false" ht="15" hidden="false" customHeight="false" outlineLevel="0" collapsed="false">
      <c r="A221" s="20" t="n">
        <v>12142</v>
      </c>
      <c r="B221" s="22" t="n">
        <v>46176</v>
      </c>
      <c r="C221" s="20" t="s">
        <v>182</v>
      </c>
      <c r="D221" s="20" t="s">
        <v>309</v>
      </c>
      <c r="E221" s="20" t="s">
        <v>310</v>
      </c>
      <c r="F221" s="20" t="n">
        <v>2</v>
      </c>
      <c r="G221" s="20" t="s">
        <v>311</v>
      </c>
      <c r="H221" s="21" t="n">
        <v>90</v>
      </c>
      <c r="I221" s="21" t="n">
        <v>180</v>
      </c>
      <c r="J221" s="20"/>
      <c r="K221" s="23" t="s">
        <v>182</v>
      </c>
      <c r="L221" s="20" t="n">
        <f aca="false">VLOOKUP(K221,'Job Costing'!$A$5:$B$23,2,0)</f>
        <v>1600</v>
      </c>
      <c r="M221" s="20" t="str">
        <f aca="false">VLOOKUP(D221,'Data - Items'!$A$4:$I$35,9,0)</f>
        <v>Nails</v>
      </c>
      <c r="N221" s="34" t="n">
        <f aca="false">IF(M221="Timber",F221*VLOOKUP(D221,'Data - Items'!$A$4:$H$35,8,0),0)</f>
        <v>0</v>
      </c>
    </row>
    <row r="222" customFormat="false" ht="15" hidden="false" customHeight="false" outlineLevel="0" collapsed="false">
      <c r="A222" s="20" t="n">
        <v>12142</v>
      </c>
      <c r="B222" s="22" t="n">
        <v>46176</v>
      </c>
      <c r="C222" s="20" t="s">
        <v>182</v>
      </c>
      <c r="D222" s="20" t="s">
        <v>312</v>
      </c>
      <c r="E222" s="20" t="s">
        <v>313</v>
      </c>
      <c r="F222" s="20" t="n">
        <v>6</v>
      </c>
      <c r="G222" s="20" t="s">
        <v>303</v>
      </c>
      <c r="H222" s="21" t="n">
        <v>160</v>
      </c>
      <c r="I222" s="21" t="n">
        <v>960</v>
      </c>
      <c r="J222" s="20"/>
      <c r="K222" s="23" t="s">
        <v>182</v>
      </c>
      <c r="L222" s="20" t="n">
        <f aca="false">VLOOKUP(K222,'Job Costing'!$A$5:$B$23,2,0)</f>
        <v>1600</v>
      </c>
      <c r="M222" s="20" t="str">
        <f aca="false">VLOOKUP(D222,'Data - Items'!$A$4:$I$35,9,0)</f>
        <v>Ply cover</v>
      </c>
      <c r="N222" s="34" t="n">
        <f aca="false">IF(M222="Timber",F222*VLOOKUP(D222,'Data - Items'!$A$4:$H$35,8,0),0)</f>
        <v>0</v>
      </c>
    </row>
    <row r="223" customFormat="false" ht="15" hidden="false" customHeight="false" outlineLevel="0" collapsed="false">
      <c r="A223" s="20" t="n">
        <v>12142</v>
      </c>
      <c r="B223" s="22" t="n">
        <v>46176</v>
      </c>
      <c r="C223" s="20" t="s">
        <v>182</v>
      </c>
      <c r="D223" s="20" t="s">
        <v>314</v>
      </c>
      <c r="E223" s="20" t="s">
        <v>315</v>
      </c>
      <c r="F223" s="20" t="n">
        <v>3</v>
      </c>
      <c r="G223" s="20" t="s">
        <v>303</v>
      </c>
      <c r="H223" s="21" t="n">
        <v>900</v>
      </c>
      <c r="I223" s="21" t="n">
        <v>2700</v>
      </c>
      <c r="J223" s="20"/>
      <c r="K223" s="23" t="s">
        <v>182</v>
      </c>
      <c r="L223" s="20" t="n">
        <f aca="false">VLOOKUP(K223,'Job Costing'!$A$5:$B$23,2,0)</f>
        <v>1600</v>
      </c>
      <c r="M223" s="20" t="str">
        <f aca="false">VLOOKUP(D223,'Data - Items'!$A$4:$I$35,9,0)</f>
        <v>Ratchet belt</v>
      </c>
      <c r="N223" s="34" t="n">
        <f aca="false">IF(M223="Timber",F223*VLOOKUP(D223,'Data - Items'!$A$4:$H$35,8,0),0)</f>
        <v>0</v>
      </c>
    </row>
    <row r="224" customFormat="false" ht="15" hidden="false" customHeight="false" outlineLevel="0" collapsed="false">
      <c r="A224" s="20" t="n">
        <v>12142</v>
      </c>
      <c r="B224" s="22" t="n">
        <v>46176</v>
      </c>
      <c r="C224" s="20" t="s">
        <v>182</v>
      </c>
      <c r="D224" s="20" t="s">
        <v>316</v>
      </c>
      <c r="E224" s="20" t="s">
        <v>317</v>
      </c>
      <c r="F224" s="20" t="n">
        <v>3.4</v>
      </c>
      <c r="G224" s="20" t="s">
        <v>318</v>
      </c>
      <c r="H224" s="21" t="n">
        <v>166</v>
      </c>
      <c r="I224" s="21" t="n">
        <v>564.4</v>
      </c>
      <c r="J224" s="20"/>
      <c r="K224" s="23" t="s">
        <v>182</v>
      </c>
      <c r="L224" s="20" t="n">
        <f aca="false">VLOOKUP(K224,'Job Costing'!$A$5:$B$23,2,0)</f>
        <v>1600</v>
      </c>
      <c r="M224" s="20" t="str">
        <f aca="false">VLOOKUP(D224,'Data - Items'!$A$4:$I$35,9,0)</f>
        <v>Stretch film</v>
      </c>
      <c r="N224" s="34" t="n">
        <f aca="false">IF(M224="Timber",F224*VLOOKUP(D224,'Data - Items'!$A$4:$H$35,8,0),0)</f>
        <v>0</v>
      </c>
    </row>
    <row r="225" customFormat="false" ht="15" hidden="false" customHeight="false" outlineLevel="0" collapsed="false">
      <c r="A225" s="20" t="n">
        <v>12142</v>
      </c>
      <c r="B225" s="22" t="n">
        <v>46176</v>
      </c>
      <c r="C225" s="20" t="s">
        <v>181</v>
      </c>
      <c r="D225" s="20" t="s">
        <v>338</v>
      </c>
      <c r="E225" s="20" t="s">
        <v>208</v>
      </c>
      <c r="F225" s="20" t="n">
        <v>5</v>
      </c>
      <c r="G225" s="20" t="s">
        <v>303</v>
      </c>
      <c r="H225" s="21" t="n">
        <v>275.1</v>
      </c>
      <c r="I225" s="21" t="n">
        <v>1375.5</v>
      </c>
      <c r="J225" s="20"/>
      <c r="K225" s="48" t="s">
        <v>182</v>
      </c>
      <c r="L225" s="20" t="n">
        <f aca="false">VLOOKUP(K225,'Job Costing'!$A$5:$B$23,2,0)</f>
        <v>1600</v>
      </c>
      <c r="M225" s="20" t="str">
        <f aca="false">VLOOKUP(D225,'Data - Items'!$A$4:$I$35,9,0)</f>
        <v>Timber</v>
      </c>
      <c r="N225" s="34" t="n">
        <f aca="false">IF(M225="Timber",F225*VLOOKUP(D225,'Data - Items'!$A$4:$H$35,8,0),0)</f>
        <v>1.853775</v>
      </c>
    </row>
    <row r="226" customFormat="false" ht="15" hidden="false" customHeight="false" outlineLevel="0" collapsed="false">
      <c r="A226" s="20" t="n">
        <v>12142</v>
      </c>
      <c r="B226" s="22" t="n">
        <v>46176</v>
      </c>
      <c r="C226" s="20" t="s">
        <v>182</v>
      </c>
      <c r="D226" s="20" t="s">
        <v>320</v>
      </c>
      <c r="E226" s="20" t="s">
        <v>204</v>
      </c>
      <c r="F226" s="20" t="n">
        <v>5</v>
      </c>
      <c r="G226" s="20" t="s">
        <v>303</v>
      </c>
      <c r="H226" s="21" t="n">
        <v>19.65</v>
      </c>
      <c r="I226" s="21" t="n">
        <v>98.25</v>
      </c>
      <c r="J226" s="20"/>
      <c r="K226" s="23" t="s">
        <v>182</v>
      </c>
      <c r="L226" s="20" t="n">
        <f aca="false">VLOOKUP(K226,'Job Costing'!$A$5:$B$23,2,0)</f>
        <v>1600</v>
      </c>
      <c r="M226" s="20" t="str">
        <f aca="false">VLOOKUP(D226,'Data - Items'!$A$4:$I$35,9,0)</f>
        <v>Timber</v>
      </c>
      <c r="N226" s="34" t="n">
        <f aca="false">IF(M226="Timber",F226*VLOOKUP(D226,'Data - Items'!$A$4:$H$35,8,0),0)</f>
        <v>0.1324125</v>
      </c>
    </row>
    <row r="227" customFormat="false" ht="15" hidden="false" customHeight="false" outlineLevel="0" collapsed="false">
      <c r="A227" s="20" t="n">
        <v>12142</v>
      </c>
      <c r="B227" s="22" t="n">
        <v>46176</v>
      </c>
      <c r="C227" s="20" t="s">
        <v>182</v>
      </c>
      <c r="D227" s="20" t="s">
        <v>328</v>
      </c>
      <c r="E227" s="20" t="s">
        <v>205</v>
      </c>
      <c r="F227" s="20" t="n">
        <v>3</v>
      </c>
      <c r="G227" s="20" t="s">
        <v>303</v>
      </c>
      <c r="H227" s="21" t="n">
        <v>176.85</v>
      </c>
      <c r="I227" s="21" t="n">
        <v>530.55</v>
      </c>
      <c r="J227" s="20"/>
      <c r="K227" s="23" t="s">
        <v>182</v>
      </c>
      <c r="L227" s="20" t="n">
        <f aca="false">VLOOKUP(K227,'Job Costing'!$A$5:$B$23,2,0)</f>
        <v>1600</v>
      </c>
      <c r="M227" s="20" t="str">
        <f aca="false">VLOOKUP(D227,'Data - Items'!$A$4:$I$35,9,0)</f>
        <v>Timber</v>
      </c>
      <c r="N227" s="34" t="n">
        <f aca="false">IF(M227="Timber",F227*VLOOKUP(D227,'Data - Items'!$A$4:$H$35,8,0),0)</f>
        <v>0.7150275</v>
      </c>
    </row>
    <row r="228" customFormat="false" ht="15" hidden="false" customHeight="false" outlineLevel="0" collapsed="false">
      <c r="A228" s="20" t="n">
        <v>12142</v>
      </c>
      <c r="B228" s="22" t="n">
        <v>46176</v>
      </c>
      <c r="C228" s="20" t="s">
        <v>181</v>
      </c>
      <c r="D228" s="20" t="s">
        <v>339</v>
      </c>
      <c r="E228" s="20" t="s">
        <v>209</v>
      </c>
      <c r="F228" s="20" t="n">
        <v>2</v>
      </c>
      <c r="G228" s="20" t="s">
        <v>303</v>
      </c>
      <c r="H228" s="21" t="n">
        <v>309.49</v>
      </c>
      <c r="I228" s="21" t="n">
        <v>618.98</v>
      </c>
      <c r="J228" s="20"/>
      <c r="K228" s="48" t="s">
        <v>182</v>
      </c>
      <c r="L228" s="20" t="n">
        <f aca="false">VLOOKUP(K228,'Job Costing'!$A$5:$B$23,2,0)</f>
        <v>1600</v>
      </c>
      <c r="M228" s="20" t="str">
        <f aca="false">VLOOKUP(D228,'Data - Items'!$A$4:$I$35,9,0)</f>
        <v>Timber</v>
      </c>
      <c r="N228" s="34" t="n">
        <f aca="false">IF(M228="Timber",F228*VLOOKUP(D228,'Data - Items'!$A$4:$H$35,8,0),0)</f>
        <v>0.83419875</v>
      </c>
    </row>
    <row r="229" customFormat="false" ht="15" hidden="false" customHeight="false" outlineLevel="0" collapsed="false">
      <c r="A229" s="20" t="n">
        <v>12142</v>
      </c>
      <c r="B229" s="22" t="n">
        <v>46176</v>
      </c>
      <c r="C229" s="20" t="s">
        <v>182</v>
      </c>
      <c r="D229" s="20" t="s">
        <v>340</v>
      </c>
      <c r="E229" s="20" t="s">
        <v>210</v>
      </c>
      <c r="F229" s="20" t="n">
        <v>4</v>
      </c>
      <c r="G229" s="20" t="s">
        <v>303</v>
      </c>
      <c r="H229" s="21" t="n">
        <v>781.09</v>
      </c>
      <c r="I229" s="21" t="n">
        <v>3124.36</v>
      </c>
      <c r="J229" s="20"/>
      <c r="K229" s="23" t="s">
        <v>182</v>
      </c>
      <c r="L229" s="20" t="n">
        <f aca="false">VLOOKUP(K229,'Job Costing'!$A$5:$B$23,2,0)</f>
        <v>1600</v>
      </c>
      <c r="M229" s="20" t="str">
        <f aca="false">VLOOKUP(D229,'Data - Items'!$A$4:$I$35,9,0)</f>
        <v>Timber</v>
      </c>
      <c r="N229" s="34" t="n">
        <f aca="false">IF(M229="Timber",F229*VLOOKUP(D229,'Data - Items'!$A$4:$H$35,8,0),0)</f>
        <v>4.2107175</v>
      </c>
    </row>
    <row r="230" customFormat="false" ht="15" hidden="false" customHeight="false" outlineLevel="0" collapsed="false">
      <c r="A230" s="20" t="n">
        <v>12164</v>
      </c>
      <c r="B230" s="22" t="n">
        <v>46190</v>
      </c>
      <c r="C230" s="20" t="s">
        <v>184</v>
      </c>
      <c r="D230" s="20" t="s">
        <v>298</v>
      </c>
      <c r="E230" s="20" t="s">
        <v>299</v>
      </c>
      <c r="F230" s="20" t="n">
        <v>6</v>
      </c>
      <c r="G230" s="20" t="s">
        <v>300</v>
      </c>
      <c r="H230" s="21" t="n">
        <v>680</v>
      </c>
      <c r="I230" s="21" t="n">
        <v>4080</v>
      </c>
      <c r="J230" s="20"/>
      <c r="K230" s="23" t="s">
        <v>184</v>
      </c>
      <c r="L230" s="20" t="n">
        <f aca="false">VLOOKUP(K230,'Job Costing'!$A$5:$B$23,2,0)</f>
        <v>2600</v>
      </c>
      <c r="M230" s="20" t="str">
        <f aca="false">VLOOKUP(D230,'Data - Items'!$A$4:$I$35,9,0)</f>
        <v>Bubble wrap</v>
      </c>
      <c r="N230" s="34" t="n">
        <f aca="false">IF(M230="Timber",F230*VLOOKUP(D230,'Data - Items'!$A$4:$H$35,8,0),0)</f>
        <v>0</v>
      </c>
    </row>
    <row r="231" customFormat="false" ht="15" hidden="false" customHeight="false" outlineLevel="0" collapsed="false">
      <c r="A231" s="20" t="n">
        <v>12164</v>
      </c>
      <c r="B231" s="22" t="n">
        <v>46190</v>
      </c>
      <c r="C231" s="20" t="s">
        <v>184</v>
      </c>
      <c r="D231" s="20" t="s">
        <v>301</v>
      </c>
      <c r="E231" s="20" t="s">
        <v>302</v>
      </c>
      <c r="F231" s="20" t="n">
        <v>7</v>
      </c>
      <c r="G231" s="20" t="s">
        <v>303</v>
      </c>
      <c r="H231" s="21" t="n">
        <v>78</v>
      </c>
      <c r="I231" s="21" t="n">
        <v>546</v>
      </c>
      <c r="J231" s="20"/>
      <c r="K231" s="23" t="s">
        <v>184</v>
      </c>
      <c r="L231" s="20" t="n">
        <f aca="false">VLOOKUP(K231,'Job Costing'!$A$5:$B$23,2,0)</f>
        <v>2600</v>
      </c>
      <c r="M231" s="20" t="str">
        <f aca="false">VLOOKUP(D231,'Data - Items'!$A$4:$I$35,9,0)</f>
        <v>Gum tape</v>
      </c>
      <c r="N231" s="34" t="n">
        <f aca="false">IF(M231="Timber",F231*VLOOKUP(D231,'Data - Items'!$A$4:$H$35,8,0),0)</f>
        <v>0</v>
      </c>
    </row>
    <row r="232" customFormat="false" ht="15" hidden="false" customHeight="false" outlineLevel="0" collapsed="false">
      <c r="A232" s="20" t="n">
        <v>12164</v>
      </c>
      <c r="B232" s="22" t="n">
        <v>46190</v>
      </c>
      <c r="C232" s="20" t="s">
        <v>184</v>
      </c>
      <c r="D232" s="20" t="s">
        <v>304</v>
      </c>
      <c r="E232" s="20" t="s">
        <v>305</v>
      </c>
      <c r="F232" s="20" t="n">
        <v>2450</v>
      </c>
      <c r="G232" s="20" t="s">
        <v>306</v>
      </c>
      <c r="H232" s="21" t="n">
        <v>5</v>
      </c>
      <c r="I232" s="21" t="n">
        <v>12250</v>
      </c>
      <c r="J232" s="20"/>
      <c r="K232" s="23" t="s">
        <v>184</v>
      </c>
      <c r="L232" s="20" t="n">
        <f aca="false">VLOOKUP(K232,'Job Costing'!$A$5:$B$23,2,0)</f>
        <v>2600</v>
      </c>
      <c r="M232" s="20" t="str">
        <f aca="false">VLOOKUP(D232,'Data - Items'!$A$4:$I$35,9,0)</f>
        <v>Tarpaulin</v>
      </c>
      <c r="N232" s="34" t="n">
        <f aca="false">IF(M232="Timber",F232*VLOOKUP(D232,'Data - Items'!$A$4:$H$35,8,0),0)</f>
        <v>0</v>
      </c>
    </row>
    <row r="233" customFormat="false" ht="15" hidden="false" customHeight="false" outlineLevel="0" collapsed="false">
      <c r="A233" s="20" t="n">
        <v>12164</v>
      </c>
      <c r="B233" s="22" t="n">
        <v>46190</v>
      </c>
      <c r="C233" s="20" t="s">
        <v>184</v>
      </c>
      <c r="D233" s="20" t="s">
        <v>307</v>
      </c>
      <c r="E233" s="20" t="s">
        <v>308</v>
      </c>
      <c r="F233" s="20" t="n">
        <v>4</v>
      </c>
      <c r="G233" s="20" t="s">
        <v>300</v>
      </c>
      <c r="H233" s="21" t="n">
        <v>2100</v>
      </c>
      <c r="I233" s="21" t="n">
        <v>8400</v>
      </c>
      <c r="J233" s="20"/>
      <c r="K233" s="23" t="s">
        <v>184</v>
      </c>
      <c r="L233" s="20" t="n">
        <f aca="false">VLOOKUP(K233,'Job Costing'!$A$5:$B$23,2,0)</f>
        <v>2600</v>
      </c>
      <c r="M233" s="20" t="str">
        <f aca="false">VLOOKUP(D233,'Data - Items'!$A$4:$I$35,9,0)</f>
        <v>Foam</v>
      </c>
      <c r="N233" s="34" t="n">
        <f aca="false">IF(M233="Timber",F233*VLOOKUP(D233,'Data - Items'!$A$4:$H$35,8,0),0)</f>
        <v>0</v>
      </c>
    </row>
    <row r="234" customFormat="false" ht="15" hidden="false" customHeight="false" outlineLevel="0" collapsed="false">
      <c r="A234" s="20" t="n">
        <v>12164</v>
      </c>
      <c r="B234" s="22" t="n">
        <v>46190</v>
      </c>
      <c r="C234" s="20" t="s">
        <v>184</v>
      </c>
      <c r="D234" s="20" t="s">
        <v>309</v>
      </c>
      <c r="E234" s="20" t="s">
        <v>310</v>
      </c>
      <c r="F234" s="20" t="n">
        <v>6</v>
      </c>
      <c r="G234" s="20" t="s">
        <v>311</v>
      </c>
      <c r="H234" s="21" t="n">
        <v>99</v>
      </c>
      <c r="I234" s="21" t="n">
        <v>594</v>
      </c>
      <c r="J234" s="20"/>
      <c r="K234" s="23" t="s">
        <v>184</v>
      </c>
      <c r="L234" s="20" t="n">
        <f aca="false">VLOOKUP(K234,'Job Costing'!$A$5:$B$23,2,0)</f>
        <v>2600</v>
      </c>
      <c r="M234" s="20" t="str">
        <f aca="false">VLOOKUP(D234,'Data - Items'!$A$4:$I$35,9,0)</f>
        <v>Nails</v>
      </c>
      <c r="N234" s="34" t="n">
        <f aca="false">IF(M234="Timber",F234*VLOOKUP(D234,'Data - Items'!$A$4:$H$35,8,0),0)</f>
        <v>0</v>
      </c>
    </row>
    <row r="235" customFormat="false" ht="15" hidden="false" customHeight="false" outlineLevel="0" collapsed="false">
      <c r="A235" s="20" t="n">
        <v>12164</v>
      </c>
      <c r="B235" s="22" t="n">
        <v>46190</v>
      </c>
      <c r="C235" s="20" t="s">
        <v>184</v>
      </c>
      <c r="D235" s="20" t="s">
        <v>312</v>
      </c>
      <c r="E235" s="20" t="s">
        <v>313</v>
      </c>
      <c r="F235" s="20" t="n">
        <v>18</v>
      </c>
      <c r="G235" s="20" t="s">
        <v>303</v>
      </c>
      <c r="H235" s="21" t="n">
        <v>160</v>
      </c>
      <c r="I235" s="21" t="n">
        <v>2880</v>
      </c>
      <c r="J235" s="20"/>
      <c r="K235" s="23" t="s">
        <v>184</v>
      </c>
      <c r="L235" s="20" t="n">
        <f aca="false">VLOOKUP(K235,'Job Costing'!$A$5:$B$23,2,0)</f>
        <v>2600</v>
      </c>
      <c r="M235" s="20" t="str">
        <f aca="false">VLOOKUP(D235,'Data - Items'!$A$4:$I$35,9,0)</f>
        <v>Ply cover</v>
      </c>
      <c r="N235" s="34" t="n">
        <f aca="false">IF(M235="Timber",F235*VLOOKUP(D235,'Data - Items'!$A$4:$H$35,8,0),0)</f>
        <v>0</v>
      </c>
    </row>
    <row r="236" customFormat="false" ht="15" hidden="false" customHeight="false" outlineLevel="0" collapsed="false">
      <c r="A236" s="20" t="n">
        <v>12164</v>
      </c>
      <c r="B236" s="22" t="n">
        <v>46190</v>
      </c>
      <c r="C236" s="20" t="s">
        <v>184</v>
      </c>
      <c r="D236" s="20" t="s">
        <v>314</v>
      </c>
      <c r="E236" s="20" t="s">
        <v>315</v>
      </c>
      <c r="F236" s="20" t="n">
        <v>11</v>
      </c>
      <c r="G236" s="20" t="s">
        <v>303</v>
      </c>
      <c r="H236" s="21" t="n">
        <v>900</v>
      </c>
      <c r="I236" s="21" t="n">
        <v>9900</v>
      </c>
      <c r="J236" s="20"/>
      <c r="K236" s="23" t="s">
        <v>184</v>
      </c>
      <c r="L236" s="20" t="n">
        <f aca="false">VLOOKUP(K236,'Job Costing'!$A$5:$B$23,2,0)</f>
        <v>2600</v>
      </c>
      <c r="M236" s="20" t="str">
        <f aca="false">VLOOKUP(D236,'Data - Items'!$A$4:$I$35,9,0)</f>
        <v>Ratchet belt</v>
      </c>
      <c r="N236" s="34" t="n">
        <f aca="false">IF(M236="Timber",F236*VLOOKUP(D236,'Data - Items'!$A$4:$H$35,8,0),0)</f>
        <v>0</v>
      </c>
    </row>
    <row r="237" customFormat="false" ht="15" hidden="false" customHeight="false" outlineLevel="0" collapsed="false">
      <c r="A237" s="20" t="n">
        <v>12164</v>
      </c>
      <c r="B237" s="22" t="n">
        <v>46190</v>
      </c>
      <c r="C237" s="20" t="s">
        <v>184</v>
      </c>
      <c r="D237" s="20" t="s">
        <v>316</v>
      </c>
      <c r="E237" s="20" t="s">
        <v>317</v>
      </c>
      <c r="F237" s="20" t="n">
        <v>18.5</v>
      </c>
      <c r="G237" s="20" t="s">
        <v>318</v>
      </c>
      <c r="H237" s="21" t="n">
        <v>166</v>
      </c>
      <c r="I237" s="21" t="n">
        <v>3071</v>
      </c>
      <c r="J237" s="20"/>
      <c r="K237" s="23" t="s">
        <v>184</v>
      </c>
      <c r="L237" s="20" t="n">
        <f aca="false">VLOOKUP(K237,'Job Costing'!$A$5:$B$23,2,0)</f>
        <v>2600</v>
      </c>
      <c r="M237" s="20" t="str">
        <f aca="false">VLOOKUP(D237,'Data - Items'!$A$4:$I$35,9,0)</f>
        <v>Stretch film</v>
      </c>
      <c r="N237" s="34" t="n">
        <f aca="false">IF(M237="Timber",F237*VLOOKUP(D237,'Data - Items'!$A$4:$H$35,8,0),0)</f>
        <v>0</v>
      </c>
    </row>
    <row r="238" customFormat="false" ht="15" hidden="false" customHeight="false" outlineLevel="0" collapsed="false">
      <c r="A238" s="20" t="n">
        <v>12164</v>
      </c>
      <c r="B238" s="22" t="n">
        <v>46190</v>
      </c>
      <c r="C238" s="20" t="s">
        <v>184</v>
      </c>
      <c r="D238" s="20" t="s">
        <v>319</v>
      </c>
      <c r="E238" s="20" t="s">
        <v>221</v>
      </c>
      <c r="F238" s="20" t="n">
        <v>23</v>
      </c>
      <c r="G238" s="20" t="s">
        <v>303</v>
      </c>
      <c r="H238" s="21" t="n">
        <v>459.27</v>
      </c>
      <c r="I238" s="21" t="n">
        <v>10563.21</v>
      </c>
      <c r="J238" s="20"/>
      <c r="K238" s="23" t="s">
        <v>184</v>
      </c>
      <c r="L238" s="20" t="n">
        <f aca="false">VLOOKUP(K238,'Job Costing'!$A$5:$B$23,2,0)</f>
        <v>2600</v>
      </c>
      <c r="M238" s="20" t="str">
        <f aca="false">VLOOKUP(D238,'Data - Items'!$A$4:$I$35,9,0)</f>
        <v>Timber</v>
      </c>
      <c r="N238" s="34" t="n">
        <f aca="false">IF(M238="Timber",F238*VLOOKUP(D238,'Data - Items'!$A$4:$H$35,8,0),0)</f>
        <v>13.80621</v>
      </c>
    </row>
    <row r="239" customFormat="false" ht="15" hidden="false" customHeight="false" outlineLevel="0" collapsed="false">
      <c r="A239" s="20" t="n">
        <v>12164</v>
      </c>
      <c r="B239" s="22" t="n">
        <v>46190</v>
      </c>
      <c r="C239" s="20" t="s">
        <v>184</v>
      </c>
      <c r="D239" s="20" t="s">
        <v>320</v>
      </c>
      <c r="E239" s="20" t="s">
        <v>204</v>
      </c>
      <c r="F239" s="20" t="n">
        <v>21</v>
      </c>
      <c r="G239" s="20" t="s">
        <v>303</v>
      </c>
      <c r="H239" s="21" t="n">
        <v>20.26</v>
      </c>
      <c r="I239" s="21" t="n">
        <v>425.46</v>
      </c>
      <c r="J239" s="20"/>
      <c r="K239" s="23" t="s">
        <v>184</v>
      </c>
      <c r="L239" s="20" t="n">
        <f aca="false">VLOOKUP(K239,'Job Costing'!$A$5:$B$23,2,0)</f>
        <v>2600</v>
      </c>
      <c r="M239" s="20" t="str">
        <f aca="false">VLOOKUP(D239,'Data - Items'!$A$4:$I$35,9,0)</f>
        <v>Timber</v>
      </c>
      <c r="N239" s="34" t="n">
        <f aca="false">IF(M239="Timber",F239*VLOOKUP(D239,'Data - Items'!$A$4:$H$35,8,0),0)</f>
        <v>0.5561325</v>
      </c>
    </row>
    <row r="240" customFormat="false" ht="15" hidden="false" customHeight="false" outlineLevel="0" collapsed="false">
      <c r="A240" s="20" t="n">
        <v>12164</v>
      </c>
      <c r="B240" s="22" t="n">
        <v>46190</v>
      </c>
      <c r="C240" s="20" t="s">
        <v>184</v>
      </c>
      <c r="D240" s="20" t="s">
        <v>321</v>
      </c>
      <c r="E240" s="20" t="s">
        <v>222</v>
      </c>
      <c r="F240" s="20" t="n">
        <v>13</v>
      </c>
      <c r="G240" s="20" t="s">
        <v>303</v>
      </c>
      <c r="H240" s="21" t="n">
        <v>516.68</v>
      </c>
      <c r="I240" s="21" t="n">
        <v>6716.84</v>
      </c>
      <c r="J240" s="20"/>
      <c r="K240" s="23" t="s">
        <v>184</v>
      </c>
      <c r="L240" s="20" t="n">
        <f aca="false">VLOOKUP(K240,'Job Costing'!$A$5:$B$23,2,0)</f>
        <v>2600</v>
      </c>
      <c r="M240" s="20" t="str">
        <f aca="false">VLOOKUP(D240,'Data - Items'!$A$4:$I$35,9,0)</f>
        <v>Timber</v>
      </c>
      <c r="N240" s="34" t="n">
        <f aca="false">IF(M240="Timber",F240*VLOOKUP(D240,'Data - Items'!$A$4:$H$35,8,0),0)</f>
        <v>8.77894875</v>
      </c>
    </row>
    <row r="241" customFormat="false" ht="15" hidden="false" customHeight="false" outlineLevel="0" collapsed="false">
      <c r="A241" s="20" t="n">
        <v>12164</v>
      </c>
      <c r="B241" s="22" t="n">
        <v>46190</v>
      </c>
      <c r="C241" s="20" t="s">
        <v>184</v>
      </c>
      <c r="D241" s="20" t="s">
        <v>322</v>
      </c>
      <c r="E241" s="20" t="s">
        <v>223</v>
      </c>
      <c r="F241" s="20" t="n">
        <v>10</v>
      </c>
      <c r="G241" s="20" t="s">
        <v>303</v>
      </c>
      <c r="H241" s="21" t="n">
        <v>1139.73</v>
      </c>
      <c r="I241" s="21" t="n">
        <v>11397.3</v>
      </c>
      <c r="J241" s="20"/>
      <c r="K241" s="23" t="s">
        <v>184</v>
      </c>
      <c r="L241" s="20" t="n">
        <f aca="false">VLOOKUP(K241,'Job Costing'!$A$5:$B$23,2,0)</f>
        <v>2600</v>
      </c>
      <c r="M241" s="20" t="str">
        <f aca="false">VLOOKUP(D241,'Data - Items'!$A$4:$I$35,9,0)</f>
        <v>Timber</v>
      </c>
      <c r="N241" s="34" t="n">
        <f aca="false">IF(M241="Timber",F241*VLOOKUP(D241,'Data - Items'!$A$4:$H$35,8,0),0)</f>
        <v>14.89640625</v>
      </c>
    </row>
    <row r="242" customFormat="false" ht="15" hidden="false" customHeight="false" outlineLevel="0" collapsed="false">
      <c r="A242" s="20" t="n">
        <v>12164</v>
      </c>
      <c r="B242" s="22" t="n">
        <v>46190</v>
      </c>
      <c r="C242" s="20" t="s">
        <v>184</v>
      </c>
      <c r="D242" s="20" t="s">
        <v>323</v>
      </c>
      <c r="E242" s="20" t="s">
        <v>220</v>
      </c>
      <c r="F242" s="20" t="n">
        <v>16</v>
      </c>
      <c r="G242" s="20" t="s">
        <v>303</v>
      </c>
      <c r="H242" s="21" t="n">
        <v>432.25</v>
      </c>
      <c r="I242" s="21" t="n">
        <v>6916</v>
      </c>
      <c r="J242" s="20"/>
      <c r="K242" s="23" t="s">
        <v>184</v>
      </c>
      <c r="L242" s="20" t="n">
        <f aca="false">VLOOKUP(K242,'Job Costing'!$A$5:$B$23,2,0)</f>
        <v>2600</v>
      </c>
      <c r="M242" s="20" t="str">
        <f aca="false">VLOOKUP(D242,'Data - Items'!$A$4:$I$35,9,0)</f>
        <v>Timber</v>
      </c>
      <c r="N242" s="34" t="n">
        <f aca="false">IF(M242="Timber",F242*VLOOKUP(D242,'Data - Items'!$A$4:$H$35,8,0),0)</f>
        <v>9.03936</v>
      </c>
    </row>
    <row r="243" customFormat="false" ht="15" hidden="false" customHeight="false" outlineLevel="0" collapsed="false">
      <c r="A243" s="20" t="n">
        <v>12186</v>
      </c>
      <c r="B243" s="22" t="n">
        <v>46225</v>
      </c>
      <c r="C243" s="20" t="s">
        <v>185</v>
      </c>
      <c r="D243" s="20" t="s">
        <v>298</v>
      </c>
      <c r="E243" s="20" t="s">
        <v>299</v>
      </c>
      <c r="F243" s="20" t="n">
        <v>5</v>
      </c>
      <c r="G243" s="20" t="s">
        <v>300</v>
      </c>
      <c r="H243" s="21" t="n">
        <v>680</v>
      </c>
      <c r="I243" s="21" t="n">
        <v>3400</v>
      </c>
      <c r="J243" s="20"/>
      <c r="K243" s="23" t="s">
        <v>185</v>
      </c>
      <c r="L243" s="20" t="n">
        <f aca="false">VLOOKUP(K243,'Job Costing'!$A$5:$B$23,2,0)</f>
        <v>2000</v>
      </c>
      <c r="M243" s="20" t="str">
        <f aca="false">VLOOKUP(D243,'Data - Items'!$A$4:$I$35,9,0)</f>
        <v>Bubble wrap</v>
      </c>
      <c r="N243" s="34" t="n">
        <f aca="false">IF(M243="Timber",F243*VLOOKUP(D243,'Data - Items'!$A$4:$H$35,8,0),0)</f>
        <v>0</v>
      </c>
    </row>
    <row r="244" customFormat="false" ht="15" hidden="false" customHeight="false" outlineLevel="0" collapsed="false">
      <c r="A244" s="20" t="n">
        <v>12186</v>
      </c>
      <c r="B244" s="22" t="n">
        <v>46225</v>
      </c>
      <c r="C244" s="20" t="s">
        <v>185</v>
      </c>
      <c r="D244" s="20" t="s">
        <v>301</v>
      </c>
      <c r="E244" s="20" t="s">
        <v>302</v>
      </c>
      <c r="F244" s="20" t="n">
        <v>5</v>
      </c>
      <c r="G244" s="20" t="s">
        <v>303</v>
      </c>
      <c r="H244" s="21" t="n">
        <v>84</v>
      </c>
      <c r="I244" s="21" t="n">
        <v>420</v>
      </c>
      <c r="J244" s="20"/>
      <c r="K244" s="23" t="s">
        <v>185</v>
      </c>
      <c r="L244" s="20" t="n">
        <f aca="false">VLOOKUP(K244,'Job Costing'!$A$5:$B$23,2,0)</f>
        <v>2000</v>
      </c>
      <c r="M244" s="20" t="str">
        <f aca="false">VLOOKUP(D244,'Data - Items'!$A$4:$I$35,9,0)</f>
        <v>Gum tape</v>
      </c>
      <c r="N244" s="34" t="n">
        <f aca="false">IF(M244="Timber",F244*VLOOKUP(D244,'Data - Items'!$A$4:$H$35,8,0),0)</f>
        <v>0</v>
      </c>
    </row>
    <row r="245" customFormat="false" ht="15" hidden="false" customHeight="false" outlineLevel="0" collapsed="false">
      <c r="A245" s="20" t="n">
        <v>12186</v>
      </c>
      <c r="B245" s="22" t="n">
        <v>46225</v>
      </c>
      <c r="C245" s="20" t="s">
        <v>185</v>
      </c>
      <c r="D245" s="20" t="s">
        <v>307</v>
      </c>
      <c r="E245" s="20" t="s">
        <v>308</v>
      </c>
      <c r="F245" s="20" t="n">
        <v>3</v>
      </c>
      <c r="G245" s="20" t="s">
        <v>300</v>
      </c>
      <c r="H245" s="21" t="n">
        <v>2250</v>
      </c>
      <c r="I245" s="21" t="n">
        <v>6750</v>
      </c>
      <c r="J245" s="20"/>
      <c r="K245" s="23" t="s">
        <v>185</v>
      </c>
      <c r="L245" s="20" t="n">
        <f aca="false">VLOOKUP(K245,'Job Costing'!$A$5:$B$23,2,0)</f>
        <v>2000</v>
      </c>
      <c r="M245" s="20" t="str">
        <f aca="false">VLOOKUP(D245,'Data - Items'!$A$4:$I$35,9,0)</f>
        <v>Foam</v>
      </c>
      <c r="N245" s="34" t="n">
        <f aca="false">IF(M245="Timber",F245*VLOOKUP(D245,'Data - Items'!$A$4:$H$35,8,0),0)</f>
        <v>0</v>
      </c>
    </row>
    <row r="246" customFormat="false" ht="15" hidden="false" customHeight="false" outlineLevel="0" collapsed="false">
      <c r="A246" s="20" t="n">
        <v>12186</v>
      </c>
      <c r="B246" s="22" t="n">
        <v>46225</v>
      </c>
      <c r="C246" s="20" t="s">
        <v>185</v>
      </c>
      <c r="D246" s="20" t="s">
        <v>309</v>
      </c>
      <c r="E246" s="20" t="s">
        <v>310</v>
      </c>
      <c r="F246" s="20" t="n">
        <v>6</v>
      </c>
      <c r="G246" s="20" t="s">
        <v>311</v>
      </c>
      <c r="H246" s="21" t="n">
        <v>99</v>
      </c>
      <c r="I246" s="21" t="n">
        <v>594</v>
      </c>
      <c r="J246" s="20"/>
      <c r="K246" s="23" t="s">
        <v>185</v>
      </c>
      <c r="L246" s="20" t="n">
        <f aca="false">VLOOKUP(K246,'Job Costing'!$A$5:$B$23,2,0)</f>
        <v>2000</v>
      </c>
      <c r="M246" s="20" t="str">
        <f aca="false">VLOOKUP(D246,'Data - Items'!$A$4:$I$35,9,0)</f>
        <v>Nails</v>
      </c>
      <c r="N246" s="34" t="n">
        <f aca="false">IF(M246="Timber",F246*VLOOKUP(D246,'Data - Items'!$A$4:$H$35,8,0),0)</f>
        <v>0</v>
      </c>
    </row>
    <row r="247" customFormat="false" ht="15" hidden="false" customHeight="false" outlineLevel="0" collapsed="false">
      <c r="A247" s="20" t="n">
        <v>12186</v>
      </c>
      <c r="B247" s="22" t="n">
        <v>46225</v>
      </c>
      <c r="C247" s="20" t="s">
        <v>185</v>
      </c>
      <c r="D247" s="20" t="s">
        <v>314</v>
      </c>
      <c r="E247" s="20" t="s">
        <v>315</v>
      </c>
      <c r="F247" s="20" t="n">
        <v>12</v>
      </c>
      <c r="G247" s="20" t="s">
        <v>303</v>
      </c>
      <c r="H247" s="21" t="n">
        <v>950</v>
      </c>
      <c r="I247" s="21" t="n">
        <v>11400</v>
      </c>
      <c r="J247" s="20"/>
      <c r="K247" s="23" t="s">
        <v>185</v>
      </c>
      <c r="L247" s="20" t="n">
        <f aca="false">VLOOKUP(K247,'Job Costing'!$A$5:$B$23,2,0)</f>
        <v>2000</v>
      </c>
      <c r="M247" s="20" t="str">
        <f aca="false">VLOOKUP(D247,'Data - Items'!$A$4:$I$35,9,0)</f>
        <v>Ratchet belt</v>
      </c>
      <c r="N247" s="34" t="n">
        <f aca="false">IF(M247="Timber",F247*VLOOKUP(D247,'Data - Items'!$A$4:$H$35,8,0),0)</f>
        <v>0</v>
      </c>
    </row>
    <row r="248" customFormat="false" ht="15" hidden="false" customHeight="false" outlineLevel="0" collapsed="false">
      <c r="A248" s="20" t="n">
        <v>12186</v>
      </c>
      <c r="B248" s="22" t="n">
        <v>46225</v>
      </c>
      <c r="C248" s="20" t="s">
        <v>185</v>
      </c>
      <c r="D248" s="20" t="s">
        <v>316</v>
      </c>
      <c r="E248" s="20" t="s">
        <v>317</v>
      </c>
      <c r="F248" s="20" t="n">
        <v>14</v>
      </c>
      <c r="G248" s="20" t="s">
        <v>318</v>
      </c>
      <c r="H248" s="21" t="n">
        <v>167.8</v>
      </c>
      <c r="I248" s="21" t="n">
        <v>2349.2</v>
      </c>
      <c r="J248" s="20"/>
      <c r="K248" s="23" t="s">
        <v>185</v>
      </c>
      <c r="L248" s="20" t="n">
        <f aca="false">VLOOKUP(K248,'Job Costing'!$A$5:$B$23,2,0)</f>
        <v>2000</v>
      </c>
      <c r="M248" s="20" t="str">
        <f aca="false">VLOOKUP(D248,'Data - Items'!$A$4:$I$35,9,0)</f>
        <v>Stretch film</v>
      </c>
      <c r="N248" s="34" t="n">
        <f aca="false">IF(M248="Timber",F248*VLOOKUP(D248,'Data - Items'!$A$4:$H$35,8,0),0)</f>
        <v>0</v>
      </c>
    </row>
    <row r="249" customFormat="false" ht="15" hidden="false" customHeight="false" outlineLevel="0" collapsed="false">
      <c r="A249" s="20" t="n">
        <v>12186</v>
      </c>
      <c r="B249" s="22" t="n">
        <v>46225</v>
      </c>
      <c r="C249" s="20" t="s">
        <v>185</v>
      </c>
      <c r="D249" s="20" t="s">
        <v>335</v>
      </c>
      <c r="E249" s="20" t="s">
        <v>214</v>
      </c>
      <c r="F249" s="20" t="n">
        <v>24</v>
      </c>
      <c r="G249" s="20" t="s">
        <v>303</v>
      </c>
      <c r="H249" s="21" t="n">
        <v>351.2</v>
      </c>
      <c r="I249" s="21" t="n">
        <v>8428.8</v>
      </c>
      <c r="J249" s="20"/>
      <c r="K249" s="23" t="s">
        <v>185</v>
      </c>
      <c r="L249" s="20" t="n">
        <f aca="false">VLOOKUP(K249,'Job Costing'!$A$5:$B$23,2,0)</f>
        <v>2000</v>
      </c>
      <c r="M249" s="20" t="str">
        <f aca="false">VLOOKUP(D249,'Data - Items'!$A$4:$I$35,9,0)</f>
        <v>Timber</v>
      </c>
      <c r="N249" s="34" t="n">
        <f aca="false">IF(M249="Timber",F249*VLOOKUP(D249,'Data - Items'!$A$4:$H$35,8,0),0)</f>
        <v>11.01672</v>
      </c>
    </row>
    <row r="250" customFormat="false" ht="15" hidden="false" customHeight="false" outlineLevel="0" collapsed="false">
      <c r="A250" s="20" t="n">
        <v>12186</v>
      </c>
      <c r="B250" s="22" t="n">
        <v>46225</v>
      </c>
      <c r="C250" s="20" t="s">
        <v>185</v>
      </c>
      <c r="D250" s="20" t="s">
        <v>320</v>
      </c>
      <c r="E250" s="20" t="s">
        <v>204</v>
      </c>
      <c r="F250" s="20" t="n">
        <v>24</v>
      </c>
      <c r="G250" s="20" t="s">
        <v>303</v>
      </c>
      <c r="H250" s="21" t="n">
        <v>20.26</v>
      </c>
      <c r="I250" s="21" t="n">
        <v>486.24</v>
      </c>
      <c r="J250" s="20"/>
      <c r="K250" s="23" t="s">
        <v>185</v>
      </c>
      <c r="L250" s="20" t="n">
        <f aca="false">VLOOKUP(K250,'Job Costing'!$A$5:$B$23,2,0)</f>
        <v>2000</v>
      </c>
      <c r="M250" s="20" t="str">
        <f aca="false">VLOOKUP(D250,'Data - Items'!$A$4:$I$35,9,0)</f>
        <v>Timber</v>
      </c>
      <c r="N250" s="34" t="n">
        <f aca="false">IF(M250="Timber",F250*VLOOKUP(D250,'Data - Items'!$A$4:$H$35,8,0),0)</f>
        <v>0.63558</v>
      </c>
    </row>
    <row r="251" customFormat="false" ht="15" hidden="false" customHeight="false" outlineLevel="0" collapsed="false">
      <c r="A251" s="20" t="n">
        <v>12186</v>
      </c>
      <c r="B251" s="22" t="n">
        <v>46225</v>
      </c>
      <c r="C251" s="20" t="s">
        <v>185</v>
      </c>
      <c r="D251" s="20" t="s">
        <v>328</v>
      </c>
      <c r="E251" s="20" t="s">
        <v>205</v>
      </c>
      <c r="F251" s="20" t="n">
        <v>24</v>
      </c>
      <c r="G251" s="20" t="s">
        <v>303</v>
      </c>
      <c r="H251" s="21" t="n">
        <v>182.36</v>
      </c>
      <c r="I251" s="21" t="n">
        <v>4376.64</v>
      </c>
      <c r="J251" s="20"/>
      <c r="K251" s="23" t="s">
        <v>185</v>
      </c>
      <c r="L251" s="20" t="n">
        <f aca="false">VLOOKUP(K251,'Job Costing'!$A$5:$B$23,2,0)</f>
        <v>2000</v>
      </c>
      <c r="M251" s="20" t="str">
        <f aca="false">VLOOKUP(D251,'Data - Items'!$A$4:$I$35,9,0)</f>
        <v>Timber</v>
      </c>
      <c r="N251" s="34" t="n">
        <f aca="false">IF(M251="Timber",F251*VLOOKUP(D251,'Data - Items'!$A$4:$H$35,8,0),0)</f>
        <v>5.72022</v>
      </c>
    </row>
    <row r="252" customFormat="false" ht="15" hidden="false" customHeight="false" outlineLevel="0" collapsed="false">
      <c r="A252" s="20" t="n">
        <v>12186</v>
      </c>
      <c r="B252" s="22" t="n">
        <v>46225</v>
      </c>
      <c r="C252" s="20" t="s">
        <v>185</v>
      </c>
      <c r="D252" s="20" t="s">
        <v>336</v>
      </c>
      <c r="E252" s="20" t="s">
        <v>215</v>
      </c>
      <c r="F252" s="20" t="n">
        <v>12</v>
      </c>
      <c r="G252" s="20" t="s">
        <v>303</v>
      </c>
      <c r="H252" s="21" t="n">
        <v>395.11</v>
      </c>
      <c r="I252" s="21" t="n">
        <v>4741.32</v>
      </c>
      <c r="J252" s="20"/>
      <c r="K252" s="23" t="s">
        <v>185</v>
      </c>
      <c r="L252" s="20" t="n">
        <f aca="false">VLOOKUP(K252,'Job Costing'!$A$5:$B$23,2,0)</f>
        <v>2000</v>
      </c>
      <c r="M252" s="20" t="str">
        <f aca="false">VLOOKUP(D252,'Data - Items'!$A$4:$I$35,9,0)</f>
        <v>Timber</v>
      </c>
      <c r="N252" s="34" t="n">
        <f aca="false">IF(M252="Timber",F252*VLOOKUP(D252,'Data - Items'!$A$4:$H$35,8,0),0)</f>
        <v>6.196905</v>
      </c>
    </row>
    <row r="253" customFormat="false" ht="15" hidden="false" customHeight="false" outlineLevel="0" collapsed="false">
      <c r="A253" s="20" t="n">
        <v>12186</v>
      </c>
      <c r="B253" s="22" t="n">
        <v>46225</v>
      </c>
      <c r="C253" s="20" t="s">
        <v>185</v>
      </c>
      <c r="D253" s="20" t="s">
        <v>337</v>
      </c>
      <c r="E253" s="20" t="s">
        <v>216</v>
      </c>
      <c r="F253" s="20" t="n">
        <v>18</v>
      </c>
      <c r="G253" s="20" t="s">
        <v>303</v>
      </c>
      <c r="H253" s="21" t="n">
        <v>744.62</v>
      </c>
      <c r="I253" s="21" t="n">
        <v>13403.16</v>
      </c>
      <c r="J253" s="20"/>
      <c r="K253" s="23" t="s">
        <v>185</v>
      </c>
      <c r="L253" s="20" t="n">
        <f aca="false">VLOOKUP(K253,'Job Costing'!$A$5:$B$23,2,0)</f>
        <v>2000</v>
      </c>
      <c r="M253" s="20" t="str">
        <f aca="false">VLOOKUP(D253,'Data - Items'!$A$4:$I$35,9,0)</f>
        <v>Timber</v>
      </c>
      <c r="N253" s="34" t="n">
        <f aca="false">IF(M253="Timber",F253*VLOOKUP(D253,'Data - Items'!$A$4:$H$35,8,0),0)</f>
        <v>17.51817375</v>
      </c>
    </row>
    <row r="254" customFormat="false" ht="15" hidden="false" customHeight="false" outlineLevel="0" collapsed="false">
      <c r="A254" s="20" t="n">
        <v>12202</v>
      </c>
      <c r="B254" s="22" t="n">
        <v>46229</v>
      </c>
      <c r="C254" s="20" t="s">
        <v>185</v>
      </c>
      <c r="D254" s="20" t="s">
        <v>298</v>
      </c>
      <c r="E254" s="20" t="s">
        <v>299</v>
      </c>
      <c r="F254" s="20" t="n">
        <v>1</v>
      </c>
      <c r="G254" s="20" t="s">
        <v>300</v>
      </c>
      <c r="H254" s="21" t="n">
        <v>680</v>
      </c>
      <c r="I254" s="21" t="n">
        <v>680</v>
      </c>
      <c r="J254" s="20" t="s">
        <v>346</v>
      </c>
      <c r="K254" s="23" t="s">
        <v>185</v>
      </c>
      <c r="L254" s="20" t="n">
        <f aca="false">VLOOKUP(K254,'Job Costing'!$A$5:$B$23,2,0)</f>
        <v>2000</v>
      </c>
      <c r="M254" s="20" t="str">
        <f aca="false">VLOOKUP(D254,'Data - Items'!$A$4:$I$35,9,0)</f>
        <v>Bubble wrap</v>
      </c>
      <c r="N254" s="34" t="n">
        <f aca="false">IF(M254="Timber",F254*VLOOKUP(D254,'Data - Items'!$A$4:$H$35,8,0),0)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D6A7"/>
    <pageSetUpPr fitToPage="true"/>
  </sheetPr>
  <dimension ref="A1:N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32"/>
    <col collapsed="false" customWidth="true" hidden="false" outlineLevel="0" max="9" min="9" style="0" width="26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6" t="s">
        <v>347</v>
      </c>
    </row>
    <row r="2" customFormat="false" ht="15" hidden="false" customHeight="false" outlineLevel="0" collapsed="false">
      <c r="A2" s="2" t="s">
        <v>348</v>
      </c>
    </row>
    <row r="4" customFormat="false" ht="30" hidden="false" customHeight="true" outlineLevel="0" collapsed="false">
      <c r="A4" s="46" t="s">
        <v>116</v>
      </c>
      <c r="B4" s="46" t="s">
        <v>349</v>
      </c>
      <c r="C4" s="46" t="s">
        <v>350</v>
      </c>
      <c r="D4" s="46" t="s">
        <v>351</v>
      </c>
      <c r="E4" s="46" t="s">
        <v>352</v>
      </c>
      <c r="F4" s="46" t="s">
        <v>353</v>
      </c>
      <c r="G4" s="46" t="s">
        <v>354</v>
      </c>
      <c r="H4" s="46" t="s">
        <v>355</v>
      </c>
      <c r="I4" s="46" t="s">
        <v>356</v>
      </c>
      <c r="J4" s="47" t="s">
        <v>357</v>
      </c>
      <c r="K4" s="47" t="s">
        <v>358</v>
      </c>
      <c r="L4" s="47" t="s">
        <v>359</v>
      </c>
      <c r="M4" s="47" t="s">
        <v>353</v>
      </c>
      <c r="N4" s="47" t="s">
        <v>152</v>
      </c>
    </row>
    <row r="5" customFormat="false" ht="15" hidden="false" customHeight="false" outlineLevel="0" collapsed="false">
      <c r="A5" s="22" t="n">
        <v>46064</v>
      </c>
      <c r="B5" s="20" t="s">
        <v>360</v>
      </c>
      <c r="C5" s="20" t="n">
        <v>1</v>
      </c>
      <c r="D5" s="20" t="n">
        <v>8.5</v>
      </c>
      <c r="E5" s="20" t="n">
        <v>0.5</v>
      </c>
      <c r="F5" s="20" t="n">
        <v>8.5</v>
      </c>
      <c r="G5" s="20" t="s">
        <v>171</v>
      </c>
      <c r="H5" s="20" t="s">
        <v>361</v>
      </c>
      <c r="I5" s="20"/>
      <c r="J5" s="22" t="n">
        <f aca="false">IF(B5="","",IF(ISNUMBER(A5),A5,DATE(2000+VALUE(RIGHT(A5,2)),VALUE(MID(A5,4,2)),VALUE(LEFT(A5,2)))))</f>
        <v>46064</v>
      </c>
      <c r="K5" s="37" t="n">
        <f aca="false">IF(B5="","",D5)</f>
        <v>8.5</v>
      </c>
      <c r="L5" s="20" t="str">
        <f aca="false">IF(AND(OR(B5="Mistri",B5="Jogali"),G5&lt;&gt;""),"Y","N")</f>
        <v>Y</v>
      </c>
      <c r="M5" s="37" t="n">
        <f aca="false">IF(L5="Y",C5*K5,0)</f>
        <v>8.5</v>
      </c>
      <c r="N5" s="37" t="n">
        <f aca="false">IF(L5="Y",E5,0)</f>
        <v>0.5</v>
      </c>
    </row>
    <row r="6" customFormat="false" ht="15" hidden="false" customHeight="false" outlineLevel="0" collapsed="false">
      <c r="A6" s="22" t="n">
        <v>46064</v>
      </c>
      <c r="B6" s="20" t="s">
        <v>362</v>
      </c>
      <c r="C6" s="20" t="n">
        <v>1</v>
      </c>
      <c r="D6" s="20" t="n">
        <v>8.5</v>
      </c>
      <c r="E6" s="20" t="n">
        <v>0.5</v>
      </c>
      <c r="F6" s="20" t="n">
        <v>8.5</v>
      </c>
      <c r="G6" s="20" t="s">
        <v>171</v>
      </c>
      <c r="H6" s="20" t="s">
        <v>363</v>
      </c>
      <c r="I6" s="20"/>
      <c r="J6" s="22" t="n">
        <f aca="false">IF(B6="","",IF(ISNUMBER(A6),A6,DATE(2000+VALUE(RIGHT(A6,2)),VALUE(MID(A6,4,2)),VALUE(LEFT(A6,2)))))</f>
        <v>46064</v>
      </c>
      <c r="K6" s="37" t="n">
        <f aca="false">IF(B6="","",D6)</f>
        <v>8.5</v>
      </c>
      <c r="L6" s="20" t="str">
        <f aca="false">IF(AND(OR(B6="Mistri",B6="Jogali"),G6&lt;&gt;""),"Y","N")</f>
        <v>Y</v>
      </c>
      <c r="M6" s="37" t="n">
        <f aca="false">IF(L6="Y",C6*K6,0)</f>
        <v>8.5</v>
      </c>
      <c r="N6" s="37" t="n">
        <f aca="false">IF(L6="Y",E6,0)</f>
        <v>0.5</v>
      </c>
    </row>
    <row r="7" customFormat="false" ht="15" hidden="false" customHeight="false" outlineLevel="0" collapsed="false">
      <c r="A7" s="22" t="n">
        <v>46065</v>
      </c>
      <c r="B7" s="20" t="s">
        <v>362</v>
      </c>
      <c r="C7" s="20" t="n">
        <v>2</v>
      </c>
      <c r="D7" s="20" t="n">
        <v>5</v>
      </c>
      <c r="E7" s="20"/>
      <c r="F7" s="20" t="n">
        <v>10</v>
      </c>
      <c r="G7" s="20" t="s">
        <v>171</v>
      </c>
      <c r="H7" s="20" t="s">
        <v>364</v>
      </c>
      <c r="I7" s="20"/>
      <c r="J7" s="22" t="n">
        <f aca="false">IF(B7="","",IF(ISNUMBER(A7),A7,DATE(2000+VALUE(RIGHT(A7,2)),VALUE(MID(A7,4,2)),VALUE(LEFT(A7,2)))))</f>
        <v>46065</v>
      </c>
      <c r="K7" s="37" t="n">
        <f aca="false">IF(B7="","",D7)</f>
        <v>5</v>
      </c>
      <c r="L7" s="20" t="str">
        <f aca="false">IF(AND(OR(B7="Mistri",B7="Jogali"),G7&lt;&gt;""),"Y","N")</f>
        <v>Y</v>
      </c>
      <c r="M7" s="37" t="n">
        <f aca="false">IF(L7="Y",C7*K7,0)</f>
        <v>10</v>
      </c>
      <c r="N7" s="37" t="n">
        <f aca="false">IF(L7="Y",E7,0)</f>
        <v>0</v>
      </c>
    </row>
    <row r="8" customFormat="false" ht="15" hidden="false" customHeight="false" outlineLevel="0" collapsed="false">
      <c r="A8" s="22" t="n">
        <v>46065</v>
      </c>
      <c r="B8" s="20" t="s">
        <v>362</v>
      </c>
      <c r="C8" s="20" t="n">
        <v>2</v>
      </c>
      <c r="D8" s="20" t="n">
        <v>8</v>
      </c>
      <c r="E8" s="20"/>
      <c r="F8" s="20" t="n">
        <v>16</v>
      </c>
      <c r="G8" s="20"/>
      <c r="H8" s="20" t="s">
        <v>365</v>
      </c>
      <c r="I8" s="20"/>
      <c r="J8" s="22" t="n">
        <f aca="false">IF(B8="","",IF(ISNUMBER(A8),A8,DATE(2000+VALUE(RIGHT(A8,2)),VALUE(MID(A8,4,2)),VALUE(LEFT(A8,2)))))</f>
        <v>46065</v>
      </c>
      <c r="K8" s="37" t="n">
        <f aca="false">IF(B8="","",D8)</f>
        <v>8</v>
      </c>
      <c r="L8" s="20" t="str">
        <f aca="false">IF(AND(OR(B8="Mistri",B8="Jogali"),G8&lt;&gt;""),"Y","N")</f>
        <v>N</v>
      </c>
      <c r="M8" s="37" t="n">
        <f aca="false">IF(L8="Y",C8*K8,0)</f>
        <v>0</v>
      </c>
      <c r="N8" s="37" t="n">
        <f aca="false">IF(L8="Y",E8,0)</f>
        <v>0</v>
      </c>
    </row>
    <row r="9" customFormat="false" ht="15" hidden="false" customHeight="false" outlineLevel="0" collapsed="false">
      <c r="A9" s="22" t="n">
        <v>46071</v>
      </c>
      <c r="B9" s="20" t="s">
        <v>360</v>
      </c>
      <c r="C9" s="20" t="n">
        <v>2</v>
      </c>
      <c r="D9" s="20" t="n">
        <v>5.5</v>
      </c>
      <c r="E9" s="20"/>
      <c r="F9" s="20" t="n">
        <v>11</v>
      </c>
      <c r="G9" s="20" t="s">
        <v>172</v>
      </c>
      <c r="H9" s="20" t="s">
        <v>361</v>
      </c>
      <c r="I9" s="20" t="s">
        <v>366</v>
      </c>
      <c r="J9" s="22" t="n">
        <f aca="false">IF(B9="","",IF(ISNUMBER(A9),A9,DATE(2000+VALUE(RIGHT(A9,2)),VALUE(MID(A9,4,2)),VALUE(LEFT(A9,2)))))</f>
        <v>46071</v>
      </c>
      <c r="K9" s="37" t="n">
        <f aca="false">IF(B9="","",D9)</f>
        <v>5.5</v>
      </c>
      <c r="L9" s="20" t="str">
        <f aca="false">IF(AND(OR(B9="Mistri",B9="Jogali"),G9&lt;&gt;""),"Y","N")</f>
        <v>Y</v>
      </c>
      <c r="M9" s="37" t="n">
        <f aca="false">IF(L9="Y",C9*K9,0)</f>
        <v>11</v>
      </c>
      <c r="N9" s="37" t="n">
        <f aca="false">IF(L9="Y",E9,0)</f>
        <v>0</v>
      </c>
    </row>
    <row r="10" customFormat="false" ht="15" hidden="false" customHeight="false" outlineLevel="0" collapsed="false">
      <c r="A10" s="22" t="n">
        <v>46071</v>
      </c>
      <c r="B10" s="20" t="s">
        <v>362</v>
      </c>
      <c r="C10" s="20" t="n">
        <v>1</v>
      </c>
      <c r="D10" s="20" t="n">
        <v>5.5</v>
      </c>
      <c r="E10" s="20"/>
      <c r="F10" s="20" t="n">
        <v>5.5</v>
      </c>
      <c r="G10" s="20" t="s">
        <v>172</v>
      </c>
      <c r="H10" s="20" t="s">
        <v>363</v>
      </c>
      <c r="I10" s="20"/>
      <c r="J10" s="22" t="n">
        <f aca="false">IF(B10="","",IF(ISNUMBER(A10),A10,DATE(2000+VALUE(RIGHT(A10,2)),VALUE(MID(A10,4,2)),VALUE(LEFT(A10,2)))))</f>
        <v>46071</v>
      </c>
      <c r="K10" s="37" t="n">
        <f aca="false">IF(B10="","",D10)</f>
        <v>5.5</v>
      </c>
      <c r="L10" s="20" t="str">
        <f aca="false">IF(AND(OR(B10="Mistri",B10="Jogali"),G10&lt;&gt;""),"Y","N")</f>
        <v>Y</v>
      </c>
      <c r="M10" s="37" t="n">
        <f aca="false">IF(L10="Y",C10*K10,0)</f>
        <v>5.5</v>
      </c>
      <c r="N10" s="37" t="n">
        <f aca="false">IF(L10="Y",E10,0)</f>
        <v>0</v>
      </c>
    </row>
    <row r="11" customFormat="false" ht="15" hidden="false" customHeight="false" outlineLevel="0" collapsed="false">
      <c r="A11" s="22" t="n">
        <v>46072</v>
      </c>
      <c r="B11" s="20" t="s">
        <v>362</v>
      </c>
      <c r="C11" s="20" t="n">
        <v>2</v>
      </c>
      <c r="D11" s="20" t="n">
        <v>7.5</v>
      </c>
      <c r="E11" s="20"/>
      <c r="F11" s="20" t="n">
        <v>15</v>
      </c>
      <c r="G11" s="20" t="s">
        <v>172</v>
      </c>
      <c r="H11" s="20" t="s">
        <v>364</v>
      </c>
      <c r="I11" s="20"/>
      <c r="J11" s="22" t="n">
        <f aca="false">IF(B11="","",IF(ISNUMBER(A11),A11,DATE(2000+VALUE(RIGHT(A11,2)),VALUE(MID(A11,4,2)),VALUE(LEFT(A11,2)))))</f>
        <v>46072</v>
      </c>
      <c r="K11" s="37" t="n">
        <f aca="false">IF(B11="","",D11)</f>
        <v>7.5</v>
      </c>
      <c r="L11" s="20" t="str">
        <f aca="false">IF(AND(OR(B11="Mistri",B11="Jogali"),G11&lt;&gt;""),"Y","N")</f>
        <v>Y</v>
      </c>
      <c r="M11" s="37" t="n">
        <f aca="false">IF(L11="Y",C11*K11,0)</f>
        <v>15</v>
      </c>
      <c r="N11" s="37" t="n">
        <f aca="false">IF(L11="Y",E11,0)</f>
        <v>0</v>
      </c>
    </row>
    <row r="12" customFormat="false" ht="15" hidden="false" customHeight="false" outlineLevel="0" collapsed="false">
      <c r="A12" s="22" t="n">
        <v>46078</v>
      </c>
      <c r="B12" s="20" t="s">
        <v>360</v>
      </c>
      <c r="C12" s="20" t="n">
        <v>2</v>
      </c>
      <c r="D12" s="20" t="n">
        <v>5.5</v>
      </c>
      <c r="E12" s="20"/>
      <c r="F12" s="20" t="n">
        <v>11</v>
      </c>
      <c r="G12" s="20" t="s">
        <v>178</v>
      </c>
      <c r="H12" s="20" t="s">
        <v>361</v>
      </c>
      <c r="I12" s="20"/>
      <c r="J12" s="22" t="n">
        <f aca="false">IF(B12="","",IF(ISNUMBER(A12),A12,DATE(2000+VALUE(RIGHT(A12,2)),VALUE(MID(A12,4,2)),VALUE(LEFT(A12,2)))))</f>
        <v>46078</v>
      </c>
      <c r="K12" s="37" t="n">
        <f aca="false">IF(B12="","",D12)</f>
        <v>5.5</v>
      </c>
      <c r="L12" s="20" t="str">
        <f aca="false">IF(AND(OR(B12="Mistri",B12="Jogali"),G12&lt;&gt;""),"Y","N")</f>
        <v>Y</v>
      </c>
      <c r="M12" s="37" t="n">
        <f aca="false">IF(L12="Y",C12*K12,0)</f>
        <v>11</v>
      </c>
      <c r="N12" s="37" t="n">
        <f aca="false">IF(L12="Y",E12,0)</f>
        <v>0</v>
      </c>
    </row>
    <row r="13" customFormat="false" ht="15" hidden="false" customHeight="false" outlineLevel="0" collapsed="false">
      <c r="A13" s="22" t="n">
        <v>46078</v>
      </c>
      <c r="B13" s="20" t="s">
        <v>362</v>
      </c>
      <c r="C13" s="20" t="n">
        <v>1</v>
      </c>
      <c r="D13" s="20" t="n">
        <v>5.5</v>
      </c>
      <c r="E13" s="20"/>
      <c r="F13" s="20" t="n">
        <v>5.5</v>
      </c>
      <c r="G13" s="20" t="s">
        <v>178</v>
      </c>
      <c r="H13" s="20" t="s">
        <v>363</v>
      </c>
      <c r="I13" s="20"/>
      <c r="J13" s="22" t="n">
        <f aca="false">IF(B13="","",IF(ISNUMBER(A13),A13,DATE(2000+VALUE(RIGHT(A13,2)),VALUE(MID(A13,4,2)),VALUE(LEFT(A13,2)))))</f>
        <v>46078</v>
      </c>
      <c r="K13" s="37" t="n">
        <f aca="false">IF(B13="","",D13)</f>
        <v>5.5</v>
      </c>
      <c r="L13" s="20" t="str">
        <f aca="false">IF(AND(OR(B13="Mistri",B13="Jogali"),G13&lt;&gt;""),"Y","N")</f>
        <v>Y</v>
      </c>
      <c r="M13" s="37" t="n">
        <f aca="false">IF(L13="Y",C13*K13,0)</f>
        <v>5.5</v>
      </c>
      <c r="N13" s="37" t="n">
        <f aca="false">IF(L13="Y",E13,0)</f>
        <v>0</v>
      </c>
    </row>
    <row r="14" customFormat="false" ht="15" hidden="false" customHeight="false" outlineLevel="0" collapsed="false">
      <c r="A14" s="22" t="n">
        <v>46079</v>
      </c>
      <c r="B14" s="20" t="s">
        <v>362</v>
      </c>
      <c r="C14" s="20" t="n">
        <v>2</v>
      </c>
      <c r="D14" s="20" t="n">
        <v>8.5</v>
      </c>
      <c r="E14" s="20" t="n">
        <v>1</v>
      </c>
      <c r="F14" s="20" t="n">
        <v>17</v>
      </c>
      <c r="G14" s="20" t="s">
        <v>178</v>
      </c>
      <c r="H14" s="20" t="s">
        <v>367</v>
      </c>
      <c r="I14" s="20"/>
      <c r="J14" s="22" t="n">
        <f aca="false">IF(B14="","",IF(ISNUMBER(A14),A14,DATE(2000+VALUE(RIGHT(A14,2)),VALUE(MID(A14,4,2)),VALUE(LEFT(A14,2)))))</f>
        <v>46079</v>
      </c>
      <c r="K14" s="37" t="n">
        <f aca="false">IF(B14="","",D14)</f>
        <v>8.5</v>
      </c>
      <c r="L14" s="20" t="str">
        <f aca="false">IF(AND(OR(B14="Mistri",B14="Jogali"),G14&lt;&gt;""),"Y","N")</f>
        <v>Y</v>
      </c>
      <c r="M14" s="37" t="n">
        <f aca="false">IF(L14="Y",C14*K14,0)</f>
        <v>17</v>
      </c>
      <c r="N14" s="37" t="n">
        <f aca="false">IF(L14="Y",E14,0)</f>
        <v>1</v>
      </c>
    </row>
    <row r="15" customFormat="false" ht="15" hidden="false" customHeight="false" outlineLevel="0" collapsed="false">
      <c r="A15" s="22" t="n">
        <v>46081</v>
      </c>
      <c r="B15" s="20" t="s">
        <v>360</v>
      </c>
      <c r="C15" s="20" t="n">
        <v>3</v>
      </c>
      <c r="D15" s="20" t="n">
        <v>9.5</v>
      </c>
      <c r="E15" s="20" t="n">
        <v>4.5</v>
      </c>
      <c r="F15" s="20" t="n">
        <v>28.5</v>
      </c>
      <c r="G15" s="20" t="s">
        <v>173</v>
      </c>
      <c r="H15" s="20" t="s">
        <v>361</v>
      </c>
      <c r="I15" s="20" t="s">
        <v>366</v>
      </c>
      <c r="J15" s="22" t="n">
        <f aca="false">IF(B15="","",IF(ISNUMBER(A15),A15,DATE(2000+VALUE(RIGHT(A15,2)),VALUE(MID(A15,4,2)),VALUE(LEFT(A15,2)))))</f>
        <v>46081</v>
      </c>
      <c r="K15" s="37" t="n">
        <f aca="false">IF(B15="","",D15)</f>
        <v>9.5</v>
      </c>
      <c r="L15" s="20" t="str">
        <f aca="false">IF(AND(OR(B15="Mistri",B15="Jogali"),G15&lt;&gt;""),"Y","N")</f>
        <v>Y</v>
      </c>
      <c r="M15" s="37" t="n">
        <f aca="false">IF(L15="Y",C15*K15,0)</f>
        <v>28.5</v>
      </c>
      <c r="N15" s="37" t="n">
        <f aca="false">IF(L15="Y",E15,0)</f>
        <v>4.5</v>
      </c>
    </row>
    <row r="16" customFormat="false" ht="15" hidden="false" customHeight="false" outlineLevel="0" collapsed="false">
      <c r="A16" s="22" t="n">
        <v>46081</v>
      </c>
      <c r="B16" s="20" t="s">
        <v>362</v>
      </c>
      <c r="C16" s="20" t="n">
        <v>1</v>
      </c>
      <c r="D16" s="20" t="n">
        <v>9.5</v>
      </c>
      <c r="E16" s="20" t="n">
        <v>1.5</v>
      </c>
      <c r="F16" s="20" t="n">
        <v>9.5</v>
      </c>
      <c r="G16" s="20" t="s">
        <v>173</v>
      </c>
      <c r="H16" s="20" t="s">
        <v>363</v>
      </c>
      <c r="I16" s="20"/>
      <c r="J16" s="22" t="n">
        <f aca="false">IF(B16="","",IF(ISNUMBER(A16),A16,DATE(2000+VALUE(RIGHT(A16,2)),VALUE(MID(A16,4,2)),VALUE(LEFT(A16,2)))))</f>
        <v>46081</v>
      </c>
      <c r="K16" s="37" t="n">
        <f aca="false">IF(B16="","",D16)</f>
        <v>9.5</v>
      </c>
      <c r="L16" s="20" t="str">
        <f aca="false">IF(AND(OR(B16="Mistri",B16="Jogali"),G16&lt;&gt;""),"Y","N")</f>
        <v>Y</v>
      </c>
      <c r="M16" s="37" t="n">
        <f aca="false">IF(L16="Y",C16*K16,0)</f>
        <v>9.5</v>
      </c>
      <c r="N16" s="37" t="n">
        <f aca="false">IF(L16="Y",E16,0)</f>
        <v>1.5</v>
      </c>
    </row>
    <row r="17" customFormat="false" ht="15" hidden="false" customHeight="false" outlineLevel="0" collapsed="false">
      <c r="A17" s="40" t="s">
        <v>368</v>
      </c>
      <c r="B17" s="20"/>
      <c r="C17" s="20"/>
      <c r="D17" s="20"/>
      <c r="E17" s="20" t="n">
        <v>8</v>
      </c>
      <c r="F17" s="20" t="n">
        <v>146</v>
      </c>
      <c r="G17" s="20"/>
      <c r="H17" s="20"/>
      <c r="I17" s="20"/>
      <c r="J17" s="22" t="str">
        <f aca="false">IF(B17="","",IF(ISNUMBER(A17),A17,DATE(2000+VALUE(RIGHT(A17,2)),VALUE(MID(A17,4,2)),VALUE(LEFT(A17,2)))))</f>
        <v/>
      </c>
      <c r="K17" s="37" t="str">
        <f aca="false">IF(B17="","",D17)</f>
        <v/>
      </c>
      <c r="L17" s="20" t="str">
        <f aca="false">IF(AND(OR(B17="Mistri",B17="Jogali"),G17&lt;&gt;""),"Y","N")</f>
        <v>N</v>
      </c>
      <c r="M17" s="37" t="n">
        <f aca="false">IF(L17="Y",C17*K17,0)</f>
        <v>0</v>
      </c>
      <c r="N17" s="37" t="n">
        <f aca="false">IF(L17="Y",E17,0)</f>
        <v>0</v>
      </c>
    </row>
    <row r="19" customFormat="false" ht="15" hidden="false" customHeight="false" outlineLevel="0" collapsed="false">
      <c r="A19" s="20" t="s">
        <v>369</v>
      </c>
      <c r="B19" s="20" t="s">
        <v>360</v>
      </c>
      <c r="C19" s="20" t="n">
        <v>3</v>
      </c>
      <c r="D19" s="20" t="n">
        <v>6</v>
      </c>
      <c r="E19" s="20"/>
      <c r="F19" s="20" t="n">
        <v>18</v>
      </c>
      <c r="G19" s="20" t="s">
        <v>173</v>
      </c>
      <c r="H19" s="20" t="s">
        <v>361</v>
      </c>
      <c r="I19" s="20"/>
      <c r="J19" s="22" t="n">
        <f aca="false">IF(B19="","",IF(ISNUMBER(A19),A19,DATE(2000+VALUE(RIGHT(A19,2)),VALUE(MID(A19,4,2)),VALUE(LEFT(A19,2)))))</f>
        <v>46083</v>
      </c>
      <c r="K19" s="37" t="n">
        <f aca="false">IF(B19="","",D19)</f>
        <v>6</v>
      </c>
      <c r="L19" s="20" t="str">
        <f aca="false">IF(AND(OR(B19="Mistri",B19="Jogali"),G19&lt;&gt;""),"Y","N")</f>
        <v>Y</v>
      </c>
      <c r="M19" s="37" t="n">
        <f aca="false">IF(L19="Y",C19*K19,0)</f>
        <v>18</v>
      </c>
      <c r="N19" s="37" t="n">
        <f aca="false">IF(L19="Y",E19,0)</f>
        <v>0</v>
      </c>
    </row>
    <row r="20" customFormat="false" ht="15" hidden="false" customHeight="false" outlineLevel="0" collapsed="false">
      <c r="A20" s="22" t="n">
        <v>46083</v>
      </c>
      <c r="B20" s="20" t="s">
        <v>362</v>
      </c>
      <c r="C20" s="20" t="n">
        <v>1</v>
      </c>
      <c r="D20" s="20" t="n">
        <v>6</v>
      </c>
      <c r="E20" s="20"/>
      <c r="F20" s="20" t="n">
        <v>6</v>
      </c>
      <c r="G20" s="20" t="s">
        <v>173</v>
      </c>
      <c r="H20" s="20" t="s">
        <v>363</v>
      </c>
      <c r="I20" s="20"/>
      <c r="J20" s="22" t="n">
        <f aca="false">IF(B20="","",IF(ISNUMBER(A20),A20,DATE(2000+VALUE(RIGHT(A20,2)),VALUE(MID(A20,4,2)),VALUE(LEFT(A20,2)))))</f>
        <v>46083</v>
      </c>
      <c r="K20" s="37" t="n">
        <f aca="false">IF(B20="","",D20)</f>
        <v>6</v>
      </c>
      <c r="L20" s="20" t="str">
        <f aca="false">IF(AND(OR(B20="Mistri",B20="Jogali"),G20&lt;&gt;""),"Y","N")</f>
        <v>Y</v>
      </c>
      <c r="M20" s="37" t="n">
        <f aca="false">IF(L20="Y",C20*K20,0)</f>
        <v>6</v>
      </c>
      <c r="N20" s="37" t="n">
        <f aca="false">IF(L20="Y",E20,0)</f>
        <v>0</v>
      </c>
    </row>
    <row r="21" customFormat="false" ht="15" hidden="false" customHeight="false" outlineLevel="0" collapsed="false">
      <c r="A21" s="22" t="n">
        <v>46084</v>
      </c>
      <c r="B21" s="20" t="s">
        <v>362</v>
      </c>
      <c r="C21" s="20" t="n">
        <v>3</v>
      </c>
      <c r="D21" s="20" t="n">
        <v>9</v>
      </c>
      <c r="E21" s="20" t="n">
        <v>3</v>
      </c>
      <c r="F21" s="20" t="n">
        <v>27</v>
      </c>
      <c r="G21" s="20" t="s">
        <v>173</v>
      </c>
      <c r="H21" s="20" t="s">
        <v>367</v>
      </c>
      <c r="I21" s="20"/>
      <c r="J21" s="22" t="n">
        <f aca="false">IF(B21="","",IF(ISNUMBER(A21),A21,DATE(2000+VALUE(RIGHT(A21,2)),VALUE(MID(A21,4,2)),VALUE(LEFT(A21,2)))))</f>
        <v>46084</v>
      </c>
      <c r="K21" s="37" t="n">
        <f aca="false">IF(B21="","",D21)</f>
        <v>9</v>
      </c>
      <c r="L21" s="20" t="str">
        <f aca="false">IF(AND(OR(B21="Mistri",B21="Jogali"),G21&lt;&gt;""),"Y","N")</f>
        <v>Y</v>
      </c>
      <c r="M21" s="37" t="n">
        <f aca="false">IF(L21="Y",C21*K21,0)</f>
        <v>27</v>
      </c>
      <c r="N21" s="37" t="n">
        <f aca="false">IF(L21="Y",E21,0)</f>
        <v>3</v>
      </c>
    </row>
    <row r="22" customFormat="false" ht="15" hidden="false" customHeight="false" outlineLevel="0" collapsed="false">
      <c r="A22" s="22" t="n">
        <v>46085</v>
      </c>
      <c r="B22" s="20" t="s">
        <v>362</v>
      </c>
      <c r="C22" s="20" t="n">
        <v>3</v>
      </c>
      <c r="D22" s="20" t="n">
        <v>9</v>
      </c>
      <c r="E22" s="20" t="n">
        <v>3</v>
      </c>
      <c r="F22" s="20" t="n">
        <v>27</v>
      </c>
      <c r="G22" s="20" t="s">
        <v>173</v>
      </c>
      <c r="H22" s="20" t="s">
        <v>367</v>
      </c>
      <c r="I22" s="20"/>
      <c r="J22" s="22" t="n">
        <f aca="false">IF(B22="","",IF(ISNUMBER(A22),A22,DATE(2000+VALUE(RIGHT(A22,2)),VALUE(MID(A22,4,2)),VALUE(LEFT(A22,2)))))</f>
        <v>46085</v>
      </c>
      <c r="K22" s="37" t="n">
        <f aca="false">IF(B22="","",D22)</f>
        <v>9</v>
      </c>
      <c r="L22" s="20" t="str">
        <f aca="false">IF(AND(OR(B22="Mistri",B22="Jogali"),G22&lt;&gt;""),"Y","N")</f>
        <v>Y</v>
      </c>
      <c r="M22" s="37" t="n">
        <f aca="false">IF(L22="Y",C22*K22,0)</f>
        <v>27</v>
      </c>
      <c r="N22" s="37" t="n">
        <f aca="false">IF(L22="Y",E22,0)</f>
        <v>3</v>
      </c>
    </row>
    <row r="23" customFormat="false" ht="15" hidden="false" customHeight="false" outlineLevel="0" collapsed="false">
      <c r="A23" s="22" t="n">
        <v>46086</v>
      </c>
      <c r="B23" s="20" t="s">
        <v>362</v>
      </c>
      <c r="C23" s="20" t="n">
        <v>3</v>
      </c>
      <c r="D23" s="20" t="n">
        <v>7.5</v>
      </c>
      <c r="E23" s="20"/>
      <c r="F23" s="20" t="n">
        <v>22.5</v>
      </c>
      <c r="G23" s="20" t="s">
        <v>173</v>
      </c>
      <c r="H23" s="20" t="s">
        <v>367</v>
      </c>
      <c r="I23" s="20"/>
      <c r="J23" s="22" t="n">
        <f aca="false">IF(B23="","",IF(ISNUMBER(A23),A23,DATE(2000+VALUE(RIGHT(A23,2)),VALUE(MID(A23,4,2)),VALUE(LEFT(A23,2)))))</f>
        <v>46086</v>
      </c>
      <c r="K23" s="37" t="n">
        <f aca="false">IF(B23="","",D23)</f>
        <v>7.5</v>
      </c>
      <c r="L23" s="20" t="str">
        <f aca="false">IF(AND(OR(B23="Mistri",B23="Jogali"),G23&lt;&gt;""),"Y","N")</f>
        <v>Y</v>
      </c>
      <c r="M23" s="37" t="n">
        <f aca="false">IF(L23="Y",C23*K23,0)</f>
        <v>22.5</v>
      </c>
      <c r="N23" s="37" t="n">
        <f aca="false">IF(L23="Y",E23,0)</f>
        <v>0</v>
      </c>
    </row>
    <row r="24" customFormat="false" ht="15" hidden="false" customHeight="false" outlineLevel="0" collapsed="false">
      <c r="A24" s="22" t="n">
        <v>46086</v>
      </c>
      <c r="B24" s="20" t="s">
        <v>362</v>
      </c>
      <c r="C24" s="20" t="n">
        <v>2</v>
      </c>
      <c r="D24" s="20" t="n">
        <v>8</v>
      </c>
      <c r="E24" s="20"/>
      <c r="F24" s="20" t="n">
        <v>16</v>
      </c>
      <c r="G24" s="20"/>
      <c r="H24" s="20" t="s">
        <v>370</v>
      </c>
      <c r="I24" s="20"/>
      <c r="J24" s="22" t="n">
        <f aca="false">IF(B24="","",IF(ISNUMBER(A24),A24,DATE(2000+VALUE(RIGHT(A24,2)),VALUE(MID(A24,4,2)),VALUE(LEFT(A24,2)))))</f>
        <v>46086</v>
      </c>
      <c r="K24" s="37" t="n">
        <f aca="false">IF(B24="","",D24)</f>
        <v>8</v>
      </c>
      <c r="L24" s="20" t="str">
        <f aca="false">IF(AND(OR(B24="Mistri",B24="Jogali"),G24&lt;&gt;""),"Y","N")</f>
        <v>N</v>
      </c>
      <c r="M24" s="37" t="n">
        <f aca="false">IF(L24="Y",C24*K24,0)</f>
        <v>0</v>
      </c>
      <c r="N24" s="37" t="n">
        <f aca="false">IF(L24="Y",E24,0)</f>
        <v>0</v>
      </c>
    </row>
    <row r="25" customFormat="false" ht="15" hidden="false" customHeight="false" outlineLevel="0" collapsed="false">
      <c r="A25" s="20" t="s">
        <v>371</v>
      </c>
      <c r="B25" s="20" t="s">
        <v>360</v>
      </c>
      <c r="C25" s="20" t="n">
        <v>2</v>
      </c>
      <c r="D25" s="20" t="n">
        <v>9</v>
      </c>
      <c r="E25" s="20" t="n">
        <v>2</v>
      </c>
      <c r="F25" s="20" t="n">
        <v>18</v>
      </c>
      <c r="G25" s="20" t="s">
        <v>174</v>
      </c>
      <c r="H25" s="20" t="s">
        <v>361</v>
      </c>
      <c r="I25" s="20"/>
      <c r="J25" s="22" t="n">
        <f aca="false">IF(B25="","",IF(ISNUMBER(A25),A25,DATE(2000+VALUE(RIGHT(A25,2)),VALUE(MID(A25,4,2)),VALUE(LEFT(A25,2)))))</f>
        <v>46097</v>
      </c>
      <c r="K25" s="37" t="n">
        <f aca="false">IF(B25="","",D25)</f>
        <v>9</v>
      </c>
      <c r="L25" s="20" t="str">
        <f aca="false">IF(AND(OR(B25="Mistri",B25="Jogali"),G25&lt;&gt;""),"Y","N")</f>
        <v>Y</v>
      </c>
      <c r="M25" s="37" t="n">
        <f aca="false">IF(L25="Y",C25*K25,0)</f>
        <v>18</v>
      </c>
      <c r="N25" s="37" t="n">
        <f aca="false">IF(L25="Y",E25,0)</f>
        <v>2</v>
      </c>
    </row>
    <row r="26" customFormat="false" ht="15" hidden="false" customHeight="false" outlineLevel="0" collapsed="false">
      <c r="A26" s="22" t="n">
        <v>46097</v>
      </c>
      <c r="B26" s="20" t="s">
        <v>362</v>
      </c>
      <c r="C26" s="20" t="n">
        <v>1</v>
      </c>
      <c r="D26" s="20" t="n">
        <v>9</v>
      </c>
      <c r="E26" s="20" t="n">
        <v>1</v>
      </c>
      <c r="F26" s="20" t="n">
        <v>9</v>
      </c>
      <c r="G26" s="20" t="s">
        <v>174</v>
      </c>
      <c r="H26" s="20" t="s">
        <v>363</v>
      </c>
      <c r="I26" s="20"/>
      <c r="J26" s="22" t="n">
        <f aca="false">IF(B26="","",IF(ISNUMBER(A26),A26,DATE(2000+VALUE(RIGHT(A26,2)),VALUE(MID(A26,4,2)),VALUE(LEFT(A26,2)))))</f>
        <v>46097</v>
      </c>
      <c r="K26" s="37" t="n">
        <f aca="false">IF(B26="","",D26)</f>
        <v>9</v>
      </c>
      <c r="L26" s="20" t="str">
        <f aca="false">IF(AND(OR(B26="Mistri",B26="Jogali"),G26&lt;&gt;""),"Y","N")</f>
        <v>Y</v>
      </c>
      <c r="M26" s="37" t="n">
        <f aca="false">IF(L26="Y",C26*K26,0)</f>
        <v>9</v>
      </c>
      <c r="N26" s="37" t="n">
        <f aca="false">IF(L26="Y",E26,0)</f>
        <v>1</v>
      </c>
    </row>
    <row r="27" customFormat="false" ht="15" hidden="false" customHeight="false" outlineLevel="0" collapsed="false">
      <c r="A27" s="20" t="s">
        <v>372</v>
      </c>
      <c r="B27" s="20" t="s">
        <v>360</v>
      </c>
      <c r="C27" s="20" t="n">
        <v>2</v>
      </c>
      <c r="D27" s="20" t="n">
        <v>1</v>
      </c>
      <c r="E27" s="20"/>
      <c r="F27" s="20" t="n">
        <v>2</v>
      </c>
      <c r="G27" s="20" t="s">
        <v>174</v>
      </c>
      <c r="H27" s="20" t="s">
        <v>361</v>
      </c>
      <c r="I27" s="20"/>
      <c r="J27" s="22" t="n">
        <f aca="false">IF(B27="","",IF(ISNUMBER(A27),A27,DATE(2000+VALUE(RIGHT(A27,2)),VALUE(MID(A27,4,2)),VALUE(LEFT(A27,2)))))</f>
        <v>46098</v>
      </c>
      <c r="K27" s="37" t="n">
        <f aca="false">IF(B27="","",D27)</f>
        <v>1</v>
      </c>
      <c r="L27" s="20" t="str">
        <f aca="false">IF(AND(OR(B27="Mistri",B27="Jogali"),G27&lt;&gt;""),"Y","N")</f>
        <v>Y</v>
      </c>
      <c r="M27" s="37" t="n">
        <f aca="false">IF(L27="Y",C27*K27,0)</f>
        <v>2</v>
      </c>
      <c r="N27" s="37" t="n">
        <f aca="false">IF(L27="Y",E27,0)</f>
        <v>0</v>
      </c>
    </row>
    <row r="28" customFormat="false" ht="15" hidden="false" customHeight="false" outlineLevel="0" collapsed="false">
      <c r="A28" s="22" t="n">
        <v>46098</v>
      </c>
      <c r="B28" s="20" t="s">
        <v>362</v>
      </c>
      <c r="C28" s="20" t="n">
        <v>1</v>
      </c>
      <c r="D28" s="20" t="n">
        <v>1</v>
      </c>
      <c r="E28" s="20"/>
      <c r="F28" s="20" t="n">
        <v>1</v>
      </c>
      <c r="G28" s="20" t="s">
        <v>174</v>
      </c>
      <c r="H28" s="20" t="s">
        <v>363</v>
      </c>
      <c r="I28" s="20"/>
      <c r="J28" s="22" t="n">
        <f aca="false">IF(B28="","",IF(ISNUMBER(A28),A28,DATE(2000+VALUE(RIGHT(A28,2)),VALUE(MID(A28,4,2)),VALUE(LEFT(A28,2)))))</f>
        <v>46098</v>
      </c>
      <c r="K28" s="37" t="n">
        <f aca="false">IF(B28="","",D28)</f>
        <v>1</v>
      </c>
      <c r="L28" s="20" t="str">
        <f aca="false">IF(AND(OR(B28="Mistri",B28="Jogali"),G28&lt;&gt;""),"Y","N")</f>
        <v>Y</v>
      </c>
      <c r="M28" s="37" t="n">
        <f aca="false">IF(L28="Y",C28*K28,0)</f>
        <v>1</v>
      </c>
      <c r="N28" s="37" t="n">
        <f aca="false">IF(L28="Y",E28,0)</f>
        <v>0</v>
      </c>
    </row>
    <row r="29" customFormat="false" ht="15" hidden="false" customHeight="false" outlineLevel="0" collapsed="false">
      <c r="A29" s="22" t="n">
        <v>46099</v>
      </c>
      <c r="B29" s="20" t="s">
        <v>362</v>
      </c>
      <c r="C29" s="20" t="n">
        <v>3</v>
      </c>
      <c r="D29" s="20" t="n">
        <v>9</v>
      </c>
      <c r="E29" s="20" t="n">
        <v>3</v>
      </c>
      <c r="F29" s="20" t="n">
        <v>27</v>
      </c>
      <c r="G29" s="20" t="s">
        <v>174</v>
      </c>
      <c r="H29" s="20" t="s">
        <v>364</v>
      </c>
      <c r="I29" s="20"/>
      <c r="J29" s="22" t="n">
        <f aca="false">IF(B29="","",IF(ISNUMBER(A29),A29,DATE(2000+VALUE(RIGHT(A29,2)),VALUE(MID(A29,4,2)),VALUE(LEFT(A29,2)))))</f>
        <v>46099</v>
      </c>
      <c r="K29" s="37" t="n">
        <f aca="false">IF(B29="","",D29)</f>
        <v>9</v>
      </c>
      <c r="L29" s="20" t="str">
        <f aca="false">IF(AND(OR(B29="Mistri",B29="Jogali"),G29&lt;&gt;""),"Y","N")</f>
        <v>Y</v>
      </c>
      <c r="M29" s="37" t="n">
        <f aca="false">IF(L29="Y",C29*K29,0)</f>
        <v>27</v>
      </c>
      <c r="N29" s="37" t="n">
        <f aca="false">IF(L29="Y",E29,0)</f>
        <v>3</v>
      </c>
    </row>
    <row r="30" customFormat="false" ht="15" hidden="false" customHeight="false" outlineLevel="0" collapsed="false">
      <c r="A30" s="22" t="n">
        <v>46100</v>
      </c>
      <c r="B30" s="20" t="s">
        <v>362</v>
      </c>
      <c r="C30" s="20" t="n">
        <v>3</v>
      </c>
      <c r="D30" s="20" t="n">
        <v>3</v>
      </c>
      <c r="E30" s="20"/>
      <c r="F30" s="20" t="n">
        <v>9</v>
      </c>
      <c r="G30" s="20" t="s">
        <v>174</v>
      </c>
      <c r="H30" s="20" t="s">
        <v>364</v>
      </c>
      <c r="I30" s="20"/>
      <c r="J30" s="22" t="n">
        <f aca="false">IF(B30="","",IF(ISNUMBER(A30),A30,DATE(2000+VALUE(RIGHT(A30,2)),VALUE(MID(A30,4,2)),VALUE(LEFT(A30,2)))))</f>
        <v>46100</v>
      </c>
      <c r="K30" s="37" t="n">
        <f aca="false">IF(B30="","",D30)</f>
        <v>3</v>
      </c>
      <c r="L30" s="20" t="str">
        <f aca="false">IF(AND(OR(B30="Mistri",B30="Jogali"),G30&lt;&gt;""),"Y","N")</f>
        <v>Y</v>
      </c>
      <c r="M30" s="37" t="n">
        <f aca="false">IF(L30="Y",C30*K30,0)</f>
        <v>9</v>
      </c>
      <c r="N30" s="37" t="n">
        <f aca="false">IF(L30="Y",E30,0)</f>
        <v>0</v>
      </c>
    </row>
    <row r="31" customFormat="false" ht="15" hidden="false" customHeight="false" outlineLevel="0" collapsed="false">
      <c r="A31" s="22" t="n">
        <v>46105</v>
      </c>
      <c r="B31" s="20" t="s">
        <v>360</v>
      </c>
      <c r="C31" s="20" t="n">
        <v>1</v>
      </c>
      <c r="D31" s="20" t="n">
        <v>9.5</v>
      </c>
      <c r="E31" s="20" t="n">
        <v>1.5</v>
      </c>
      <c r="F31" s="20" t="n">
        <v>9.5</v>
      </c>
      <c r="G31" s="20" t="s">
        <v>175</v>
      </c>
      <c r="H31" s="20" t="s">
        <v>361</v>
      </c>
      <c r="I31" s="20"/>
      <c r="J31" s="22" t="n">
        <f aca="false">IF(B31="","",IF(ISNUMBER(A31),A31,DATE(2000+VALUE(RIGHT(A31,2)),VALUE(MID(A31,4,2)),VALUE(LEFT(A31,2)))))</f>
        <v>46105</v>
      </c>
      <c r="K31" s="37" t="n">
        <f aca="false">IF(B31="","",D31)</f>
        <v>9.5</v>
      </c>
      <c r="L31" s="20" t="str">
        <f aca="false">IF(AND(OR(B31="Mistri",B31="Jogali"),G31&lt;&gt;""),"Y","N")</f>
        <v>Y</v>
      </c>
      <c r="M31" s="37" t="n">
        <f aca="false">IF(L31="Y",C31*K31,0)</f>
        <v>9.5</v>
      </c>
      <c r="N31" s="37" t="n">
        <f aca="false">IF(L31="Y",E31,0)</f>
        <v>1.5</v>
      </c>
    </row>
    <row r="32" customFormat="false" ht="15" hidden="false" customHeight="false" outlineLevel="0" collapsed="false">
      <c r="A32" s="22" t="n">
        <v>46105</v>
      </c>
      <c r="B32" s="20" t="s">
        <v>362</v>
      </c>
      <c r="C32" s="20" t="n">
        <v>1</v>
      </c>
      <c r="D32" s="20" t="n">
        <v>9.5</v>
      </c>
      <c r="E32" s="20" t="n">
        <v>1.5</v>
      </c>
      <c r="F32" s="20" t="n">
        <v>9.5</v>
      </c>
      <c r="G32" s="20" t="s">
        <v>175</v>
      </c>
      <c r="H32" s="20" t="s">
        <v>363</v>
      </c>
      <c r="I32" s="20"/>
      <c r="J32" s="22" t="n">
        <f aca="false">IF(B32="","",IF(ISNUMBER(A32),A32,DATE(2000+VALUE(RIGHT(A32,2)),VALUE(MID(A32,4,2)),VALUE(LEFT(A32,2)))))</f>
        <v>46105</v>
      </c>
      <c r="K32" s="37" t="n">
        <f aca="false">IF(B32="","",D32)</f>
        <v>9.5</v>
      </c>
      <c r="L32" s="20" t="str">
        <f aca="false">IF(AND(OR(B32="Mistri",B32="Jogali"),G32&lt;&gt;""),"Y","N")</f>
        <v>Y</v>
      </c>
      <c r="M32" s="37" t="n">
        <f aca="false">IF(L32="Y",C32*K32,0)</f>
        <v>9.5</v>
      </c>
      <c r="N32" s="37" t="n">
        <f aca="false">IF(L32="Y",E32,0)</f>
        <v>1.5</v>
      </c>
    </row>
    <row r="33" customFormat="false" ht="15" hidden="false" customHeight="false" outlineLevel="0" collapsed="false">
      <c r="A33" s="22" t="n">
        <v>46106</v>
      </c>
      <c r="B33" s="20" t="s">
        <v>360</v>
      </c>
      <c r="C33" s="20" t="n">
        <v>1</v>
      </c>
      <c r="D33" s="20" t="n">
        <v>1</v>
      </c>
      <c r="E33" s="20"/>
      <c r="F33" s="20" t="n">
        <v>1</v>
      </c>
      <c r="G33" s="20" t="s">
        <v>175</v>
      </c>
      <c r="H33" s="20" t="s">
        <v>361</v>
      </c>
      <c r="I33" s="20"/>
      <c r="J33" s="22" t="n">
        <f aca="false">IF(B33="","",IF(ISNUMBER(A33),A33,DATE(2000+VALUE(RIGHT(A33,2)),VALUE(MID(A33,4,2)),VALUE(LEFT(A33,2)))))</f>
        <v>46106</v>
      </c>
      <c r="K33" s="37" t="n">
        <f aca="false">IF(B33="","",D33)</f>
        <v>1</v>
      </c>
      <c r="L33" s="20" t="str">
        <f aca="false">IF(AND(OR(B33="Mistri",B33="Jogali"),G33&lt;&gt;""),"Y","N")</f>
        <v>Y</v>
      </c>
      <c r="M33" s="37" t="n">
        <f aca="false">IF(L33="Y",C33*K33,0)</f>
        <v>1</v>
      </c>
      <c r="N33" s="37" t="n">
        <f aca="false">IF(L33="Y",E33,0)</f>
        <v>0</v>
      </c>
    </row>
    <row r="34" customFormat="false" ht="15" hidden="false" customHeight="false" outlineLevel="0" collapsed="false">
      <c r="A34" s="22" t="n">
        <v>46106</v>
      </c>
      <c r="B34" s="20" t="s">
        <v>362</v>
      </c>
      <c r="C34" s="20" t="n">
        <v>1</v>
      </c>
      <c r="D34" s="20" t="n">
        <v>1</v>
      </c>
      <c r="E34" s="20"/>
      <c r="F34" s="20" t="n">
        <v>1</v>
      </c>
      <c r="G34" s="20" t="s">
        <v>175</v>
      </c>
      <c r="H34" s="20" t="s">
        <v>363</v>
      </c>
      <c r="I34" s="20"/>
      <c r="J34" s="22" t="n">
        <f aca="false">IF(B34="","",IF(ISNUMBER(A34),A34,DATE(2000+VALUE(RIGHT(A34,2)),VALUE(MID(A34,4,2)),VALUE(LEFT(A34,2)))))</f>
        <v>46106</v>
      </c>
      <c r="K34" s="37" t="n">
        <f aca="false">IF(B34="","",D34)</f>
        <v>1</v>
      </c>
      <c r="L34" s="20" t="str">
        <f aca="false">IF(AND(OR(B34="Mistri",B34="Jogali"),G34&lt;&gt;""),"Y","N")</f>
        <v>Y</v>
      </c>
      <c r="M34" s="37" t="n">
        <f aca="false">IF(L34="Y",C34*K34,0)</f>
        <v>1</v>
      </c>
      <c r="N34" s="37" t="n">
        <f aca="false">IF(L34="Y",E34,0)</f>
        <v>0</v>
      </c>
    </row>
    <row r="35" customFormat="false" ht="15" hidden="false" customHeight="false" outlineLevel="0" collapsed="false">
      <c r="A35" s="22" t="n">
        <v>46107</v>
      </c>
      <c r="B35" s="20" t="s">
        <v>362</v>
      </c>
      <c r="C35" s="20" t="n">
        <v>2</v>
      </c>
      <c r="D35" s="20"/>
      <c r="E35" s="20"/>
      <c r="F35" s="20" t="n">
        <v>0</v>
      </c>
      <c r="G35" s="20" t="s">
        <v>175</v>
      </c>
      <c r="H35" s="20" t="s">
        <v>364</v>
      </c>
      <c r="I35" s="20" t="s">
        <v>373</v>
      </c>
      <c r="J35" s="22" t="n">
        <f aca="false">IF(B35="","",IF(ISNUMBER(A35),A35,DATE(2000+VALUE(RIGHT(A35,2)),VALUE(MID(A35,4,2)),VALUE(LEFT(A35,2)))))</f>
        <v>46107</v>
      </c>
      <c r="K35" s="29" t="n">
        <v>8</v>
      </c>
      <c r="L35" s="20" t="str">
        <f aca="false">IF(AND(OR(B35="Mistri",B35="Jogali"),G35&lt;&gt;""),"Y","N")</f>
        <v>Y</v>
      </c>
      <c r="M35" s="37" t="n">
        <f aca="false">IF(L35="Y",C35*K35,0)</f>
        <v>16</v>
      </c>
      <c r="N35" s="37" t="n">
        <f aca="false">IF(L35="Y",E35,0)</f>
        <v>0</v>
      </c>
    </row>
    <row r="36" customFormat="false" ht="15" hidden="false" customHeight="false" outlineLevel="0" collapsed="false">
      <c r="A36" s="40" t="s">
        <v>374</v>
      </c>
      <c r="B36" s="20"/>
      <c r="C36" s="20"/>
      <c r="D36" s="20"/>
      <c r="E36" s="20" t="n">
        <v>15</v>
      </c>
      <c r="F36" s="20" t="n">
        <v>203.5</v>
      </c>
      <c r="G36" s="20"/>
      <c r="H36" s="20"/>
      <c r="I36" s="20"/>
      <c r="J36" s="22" t="str">
        <f aca="false">IF(B36="","",IF(ISNUMBER(A36),A36,DATE(2000+VALUE(RIGHT(A36,2)),VALUE(MID(A36,4,2)),VALUE(LEFT(A36,2)))))</f>
        <v/>
      </c>
      <c r="K36" s="37" t="str">
        <f aca="false">IF(B36="","",D36)</f>
        <v/>
      </c>
      <c r="L36" s="20" t="str">
        <f aca="false">IF(AND(OR(B36="Mistri",B36="Jogali"),G36&lt;&gt;""),"Y","N")</f>
        <v>N</v>
      </c>
      <c r="M36" s="37" t="n">
        <f aca="false">IF(L36="Y",C36*K36,0)</f>
        <v>0</v>
      </c>
      <c r="N36" s="37" t="n">
        <f aca="false">IF(L36="Y",E36,0)</f>
        <v>0</v>
      </c>
    </row>
    <row r="38" customFormat="false" ht="15" hidden="false" customHeight="false" outlineLevel="0" collapsed="false">
      <c r="A38" s="22" t="n">
        <v>46119</v>
      </c>
      <c r="B38" s="20" t="s">
        <v>360</v>
      </c>
      <c r="C38" s="20" t="n">
        <v>2</v>
      </c>
      <c r="D38" s="20" t="n">
        <v>6</v>
      </c>
      <c r="E38" s="20"/>
      <c r="F38" s="20" t="n">
        <v>12</v>
      </c>
      <c r="G38" s="20" t="s">
        <v>177</v>
      </c>
      <c r="H38" s="20" t="s">
        <v>361</v>
      </c>
      <c r="I38" s="20"/>
      <c r="J38" s="22" t="n">
        <f aca="false">IF(B38="","",IF(ISNUMBER(A38),A38,DATE(2000+VALUE(RIGHT(A38,2)),VALUE(MID(A38,4,2)),VALUE(LEFT(A38,2)))))</f>
        <v>46119</v>
      </c>
      <c r="K38" s="37" t="n">
        <f aca="false">IF(B38="","",D38)</f>
        <v>6</v>
      </c>
      <c r="L38" s="20" t="str">
        <f aca="false">IF(AND(OR(B38="Mistri",B38="Jogali"),G38&lt;&gt;""),"Y","N")</f>
        <v>Y</v>
      </c>
      <c r="M38" s="37" t="n">
        <f aca="false">IF(L38="Y",C38*K38,0)</f>
        <v>12</v>
      </c>
      <c r="N38" s="37" t="n">
        <f aca="false">IF(L38="Y",E38,0)</f>
        <v>0</v>
      </c>
    </row>
    <row r="39" customFormat="false" ht="15" hidden="false" customHeight="false" outlineLevel="0" collapsed="false">
      <c r="A39" s="22" t="n">
        <v>46119</v>
      </c>
      <c r="B39" s="20" t="s">
        <v>362</v>
      </c>
      <c r="C39" s="20" t="n">
        <v>1</v>
      </c>
      <c r="D39" s="20" t="n">
        <v>6</v>
      </c>
      <c r="E39" s="20"/>
      <c r="F39" s="20" t="n">
        <v>6</v>
      </c>
      <c r="G39" s="20" t="s">
        <v>177</v>
      </c>
      <c r="H39" s="20" t="s">
        <v>363</v>
      </c>
      <c r="I39" s="20"/>
      <c r="J39" s="22" t="n">
        <f aca="false">IF(B39="","",IF(ISNUMBER(A39),A39,DATE(2000+VALUE(RIGHT(A39,2)),VALUE(MID(A39,4,2)),VALUE(LEFT(A39,2)))))</f>
        <v>46119</v>
      </c>
      <c r="K39" s="37" t="n">
        <f aca="false">IF(B39="","",D39)</f>
        <v>6</v>
      </c>
      <c r="L39" s="20" t="str">
        <f aca="false">IF(AND(OR(B39="Mistri",B39="Jogali"),G39&lt;&gt;""),"Y","N")</f>
        <v>Y</v>
      </c>
      <c r="M39" s="37" t="n">
        <f aca="false">IF(L39="Y",C39*K39,0)</f>
        <v>6</v>
      </c>
      <c r="N39" s="37" t="n">
        <f aca="false">IF(L39="Y",E39,0)</f>
        <v>0</v>
      </c>
    </row>
    <row r="40" customFormat="false" ht="15" hidden="false" customHeight="false" outlineLevel="0" collapsed="false">
      <c r="A40" s="22" t="n">
        <v>46120</v>
      </c>
      <c r="B40" s="20" t="s">
        <v>362</v>
      </c>
      <c r="C40" s="20" t="n">
        <v>2</v>
      </c>
      <c r="D40" s="20" t="n">
        <v>9</v>
      </c>
      <c r="E40" s="20" t="n">
        <v>2</v>
      </c>
      <c r="F40" s="20" t="n">
        <v>18</v>
      </c>
      <c r="G40" s="20" t="s">
        <v>177</v>
      </c>
      <c r="H40" s="20" t="s">
        <v>364</v>
      </c>
      <c r="I40" s="20"/>
      <c r="J40" s="22" t="n">
        <f aca="false">IF(B40="","",IF(ISNUMBER(A40),A40,DATE(2000+VALUE(RIGHT(A40,2)),VALUE(MID(A40,4,2)),VALUE(LEFT(A40,2)))))</f>
        <v>46120</v>
      </c>
      <c r="K40" s="37" t="n">
        <f aca="false">IF(B40="","",D40)</f>
        <v>9</v>
      </c>
      <c r="L40" s="20" t="str">
        <f aca="false">IF(AND(OR(B40="Mistri",B40="Jogali"),G40&lt;&gt;""),"Y","N")</f>
        <v>Y</v>
      </c>
      <c r="M40" s="37" t="n">
        <f aca="false">IF(L40="Y",C40*K40,0)</f>
        <v>18</v>
      </c>
      <c r="N40" s="37" t="n">
        <f aca="false">IF(L40="Y",E40,0)</f>
        <v>2</v>
      </c>
    </row>
    <row r="41" customFormat="false" ht="15" hidden="false" customHeight="false" outlineLevel="0" collapsed="false">
      <c r="A41" s="22" t="n">
        <v>46121</v>
      </c>
      <c r="B41" s="20" t="s">
        <v>362</v>
      </c>
      <c r="C41" s="20" t="n">
        <v>2</v>
      </c>
      <c r="D41" s="20" t="n">
        <v>3</v>
      </c>
      <c r="E41" s="20"/>
      <c r="F41" s="20" t="n">
        <v>6</v>
      </c>
      <c r="G41" s="20" t="s">
        <v>177</v>
      </c>
      <c r="H41" s="20" t="s">
        <v>364</v>
      </c>
      <c r="I41" s="20"/>
      <c r="J41" s="22" t="n">
        <f aca="false">IF(B41="","",IF(ISNUMBER(A41),A41,DATE(2000+VALUE(RIGHT(A41,2)),VALUE(MID(A41,4,2)),VALUE(LEFT(A41,2)))))</f>
        <v>46121</v>
      </c>
      <c r="K41" s="37" t="n">
        <f aca="false">IF(B41="","",D41)</f>
        <v>3</v>
      </c>
      <c r="L41" s="20" t="str">
        <f aca="false">IF(AND(OR(B41="Mistri",B41="Jogali"),G41&lt;&gt;""),"Y","N")</f>
        <v>Y</v>
      </c>
      <c r="M41" s="37" t="n">
        <f aca="false">IF(L41="Y",C41*K41,0)</f>
        <v>6</v>
      </c>
      <c r="N41" s="37" t="n">
        <f aca="false">IF(L41="Y",E41,0)</f>
        <v>0</v>
      </c>
    </row>
    <row r="42" customFormat="false" ht="15" hidden="false" customHeight="false" outlineLevel="0" collapsed="false">
      <c r="A42" s="22" t="n">
        <v>46121</v>
      </c>
      <c r="B42" s="20" t="s">
        <v>362</v>
      </c>
      <c r="C42" s="20" t="n">
        <v>2</v>
      </c>
      <c r="D42" s="20" t="n">
        <v>8</v>
      </c>
      <c r="E42" s="20"/>
      <c r="F42" s="20" t="n">
        <v>16</v>
      </c>
      <c r="G42" s="20"/>
      <c r="H42" s="20" t="s">
        <v>370</v>
      </c>
      <c r="I42" s="20"/>
      <c r="J42" s="22" t="n">
        <f aca="false">IF(B42="","",IF(ISNUMBER(A42),A42,DATE(2000+VALUE(RIGHT(A42,2)),VALUE(MID(A42,4,2)),VALUE(LEFT(A42,2)))))</f>
        <v>46121</v>
      </c>
      <c r="K42" s="37" t="n">
        <f aca="false">IF(B42="","",D42)</f>
        <v>8</v>
      </c>
      <c r="L42" s="20" t="str">
        <f aca="false">IF(AND(OR(B42="Mistri",B42="Jogali"),G42&lt;&gt;""),"Y","N")</f>
        <v>N</v>
      </c>
      <c r="M42" s="37" t="n">
        <f aca="false">IF(L42="Y",C42*K42,0)</f>
        <v>0</v>
      </c>
      <c r="N42" s="37" t="n">
        <f aca="false">IF(L42="Y",E42,0)</f>
        <v>0</v>
      </c>
    </row>
    <row r="43" customFormat="false" ht="15" hidden="false" customHeight="false" outlineLevel="0" collapsed="false">
      <c r="A43" s="22" t="n">
        <v>46125</v>
      </c>
      <c r="B43" s="20" t="s">
        <v>360</v>
      </c>
      <c r="C43" s="20" t="n">
        <v>2</v>
      </c>
      <c r="D43" s="20" t="n">
        <v>9.5</v>
      </c>
      <c r="E43" s="20" t="n">
        <v>3</v>
      </c>
      <c r="F43" s="20" t="n">
        <v>19</v>
      </c>
      <c r="G43" s="20" t="s">
        <v>178</v>
      </c>
      <c r="H43" s="20" t="s">
        <v>361</v>
      </c>
      <c r="I43" s="20" t="s">
        <v>366</v>
      </c>
      <c r="J43" s="22" t="n">
        <f aca="false">IF(B43="","",IF(ISNUMBER(A43),A43,DATE(2000+VALUE(RIGHT(A43,2)),VALUE(MID(A43,4,2)),VALUE(LEFT(A43,2)))))</f>
        <v>46125</v>
      </c>
      <c r="K43" s="37" t="n">
        <f aca="false">IF(B43="","",D43)</f>
        <v>9.5</v>
      </c>
      <c r="L43" s="20" t="str">
        <f aca="false">IF(AND(OR(B43="Mistri",B43="Jogali"),G43&lt;&gt;""),"Y","N")</f>
        <v>Y</v>
      </c>
      <c r="M43" s="37" t="n">
        <f aca="false">IF(L43="Y",C43*K43,0)</f>
        <v>19</v>
      </c>
      <c r="N43" s="37" t="n">
        <f aca="false">IF(L43="Y",E43,0)</f>
        <v>3</v>
      </c>
    </row>
    <row r="44" customFormat="false" ht="15" hidden="false" customHeight="false" outlineLevel="0" collapsed="false">
      <c r="A44" s="22" t="n">
        <v>46125</v>
      </c>
      <c r="B44" s="20" t="s">
        <v>362</v>
      </c>
      <c r="C44" s="20" t="n">
        <v>1</v>
      </c>
      <c r="D44" s="20" t="n">
        <v>9.5</v>
      </c>
      <c r="E44" s="20" t="n">
        <v>1.5</v>
      </c>
      <c r="F44" s="20" t="n">
        <v>9.5</v>
      </c>
      <c r="G44" s="20" t="s">
        <v>178</v>
      </c>
      <c r="H44" s="20" t="s">
        <v>363</v>
      </c>
      <c r="I44" s="20"/>
      <c r="J44" s="22" t="n">
        <f aca="false">IF(B44="","",IF(ISNUMBER(A44),A44,DATE(2000+VALUE(RIGHT(A44,2)),VALUE(MID(A44,4,2)),VALUE(LEFT(A44,2)))))</f>
        <v>46125</v>
      </c>
      <c r="K44" s="37" t="n">
        <f aca="false">IF(B44="","",D44)</f>
        <v>9.5</v>
      </c>
      <c r="L44" s="20" t="str">
        <f aca="false">IF(AND(OR(B44="Mistri",B44="Jogali"),G44&lt;&gt;""),"Y","N")</f>
        <v>Y</v>
      </c>
      <c r="M44" s="37" t="n">
        <f aca="false">IF(L44="Y",C44*K44,0)</f>
        <v>9.5</v>
      </c>
      <c r="N44" s="37" t="n">
        <f aca="false">IF(L44="Y",E44,0)</f>
        <v>1.5</v>
      </c>
    </row>
    <row r="45" customFormat="false" ht="15" hidden="false" customHeight="false" outlineLevel="0" collapsed="false">
      <c r="A45" s="22" t="n">
        <v>46126</v>
      </c>
      <c r="B45" s="20" t="s">
        <v>360</v>
      </c>
      <c r="C45" s="20" t="n">
        <v>2</v>
      </c>
      <c r="D45" s="20" t="n">
        <v>1</v>
      </c>
      <c r="E45" s="20"/>
      <c r="F45" s="20" t="n">
        <v>2</v>
      </c>
      <c r="G45" s="20" t="s">
        <v>178</v>
      </c>
      <c r="H45" s="20" t="s">
        <v>361</v>
      </c>
      <c r="I45" s="20"/>
      <c r="J45" s="22" t="n">
        <f aca="false">IF(B45="","",IF(ISNUMBER(A45),A45,DATE(2000+VALUE(RIGHT(A45,2)),VALUE(MID(A45,4,2)),VALUE(LEFT(A45,2)))))</f>
        <v>46126</v>
      </c>
      <c r="K45" s="37" t="n">
        <f aca="false">IF(B45="","",D45)</f>
        <v>1</v>
      </c>
      <c r="L45" s="20" t="str">
        <f aca="false">IF(AND(OR(B45="Mistri",B45="Jogali"),G45&lt;&gt;""),"Y","N")</f>
        <v>Y</v>
      </c>
      <c r="M45" s="37" t="n">
        <f aca="false">IF(L45="Y",C45*K45,0)</f>
        <v>2</v>
      </c>
      <c r="N45" s="37" t="n">
        <f aca="false">IF(L45="Y",E45,0)</f>
        <v>0</v>
      </c>
    </row>
    <row r="46" customFormat="false" ht="15" hidden="false" customHeight="false" outlineLevel="0" collapsed="false">
      <c r="A46" s="22" t="n">
        <v>46126</v>
      </c>
      <c r="B46" s="20" t="s">
        <v>362</v>
      </c>
      <c r="C46" s="20" t="n">
        <v>1</v>
      </c>
      <c r="D46" s="20" t="n">
        <v>1</v>
      </c>
      <c r="E46" s="20"/>
      <c r="F46" s="20" t="n">
        <v>1</v>
      </c>
      <c r="G46" s="20" t="s">
        <v>178</v>
      </c>
      <c r="H46" s="20" t="s">
        <v>363</v>
      </c>
      <c r="I46" s="20"/>
      <c r="J46" s="22" t="n">
        <f aca="false">IF(B46="","",IF(ISNUMBER(A46),A46,DATE(2000+VALUE(RIGHT(A46,2)),VALUE(MID(A46,4,2)),VALUE(LEFT(A46,2)))))</f>
        <v>46126</v>
      </c>
      <c r="K46" s="37" t="n">
        <f aca="false">IF(B46="","",D46)</f>
        <v>1</v>
      </c>
      <c r="L46" s="20" t="str">
        <f aca="false">IF(AND(OR(B46="Mistri",B46="Jogali"),G46&lt;&gt;""),"Y","N")</f>
        <v>Y</v>
      </c>
      <c r="M46" s="37" t="n">
        <f aca="false">IF(L46="Y",C46*K46,0)</f>
        <v>1</v>
      </c>
      <c r="N46" s="37" t="n">
        <f aca="false">IF(L46="Y",E46,0)</f>
        <v>0</v>
      </c>
    </row>
    <row r="47" customFormat="false" ht="15" hidden="false" customHeight="false" outlineLevel="0" collapsed="false">
      <c r="A47" s="22" t="n">
        <v>46127</v>
      </c>
      <c r="B47" s="20" t="s">
        <v>362</v>
      </c>
      <c r="C47" s="20" t="n">
        <v>2</v>
      </c>
      <c r="D47" s="20" t="n">
        <v>9</v>
      </c>
      <c r="E47" s="20" t="n">
        <v>2</v>
      </c>
      <c r="F47" s="20" t="n">
        <v>18</v>
      </c>
      <c r="G47" s="20" t="s">
        <v>178</v>
      </c>
      <c r="H47" s="20" t="s">
        <v>367</v>
      </c>
      <c r="I47" s="20"/>
      <c r="J47" s="22" t="n">
        <f aca="false">IF(B47="","",IF(ISNUMBER(A47),A47,DATE(2000+VALUE(RIGHT(A47,2)),VALUE(MID(A47,4,2)),VALUE(LEFT(A47,2)))))</f>
        <v>46127</v>
      </c>
      <c r="K47" s="37" t="n">
        <f aca="false">IF(B47="","",D47)</f>
        <v>9</v>
      </c>
      <c r="L47" s="20" t="str">
        <f aca="false">IF(AND(OR(B47="Mistri",B47="Jogali"),G47&lt;&gt;""),"Y","N")</f>
        <v>Y</v>
      </c>
      <c r="M47" s="37" t="n">
        <f aca="false">IF(L47="Y",C47*K47,0)</f>
        <v>18</v>
      </c>
      <c r="N47" s="37" t="n">
        <f aca="false">IF(L47="Y",E47,0)</f>
        <v>2</v>
      </c>
    </row>
    <row r="48" customFormat="false" ht="15" hidden="false" customHeight="false" outlineLevel="0" collapsed="false">
      <c r="A48" s="22" t="n">
        <v>46128</v>
      </c>
      <c r="B48" s="20" t="s">
        <v>362</v>
      </c>
      <c r="C48" s="20" t="n">
        <v>2</v>
      </c>
      <c r="D48" s="20" t="n">
        <v>9</v>
      </c>
      <c r="E48" s="20" t="n">
        <v>2</v>
      </c>
      <c r="F48" s="20" t="n">
        <v>18</v>
      </c>
      <c r="G48" s="20" t="s">
        <v>178</v>
      </c>
      <c r="H48" s="20" t="s">
        <v>367</v>
      </c>
      <c r="I48" s="20"/>
      <c r="J48" s="22" t="n">
        <f aca="false">IF(B48="","",IF(ISNUMBER(A48),A48,DATE(2000+VALUE(RIGHT(A48,2)),VALUE(MID(A48,4,2)),VALUE(LEFT(A48,2)))))</f>
        <v>46128</v>
      </c>
      <c r="K48" s="37" t="n">
        <f aca="false">IF(B48="","",D48)</f>
        <v>9</v>
      </c>
      <c r="L48" s="20" t="str">
        <f aca="false">IF(AND(OR(B48="Mistri",B48="Jogali"),G48&lt;&gt;""),"Y","N")</f>
        <v>Y</v>
      </c>
      <c r="M48" s="37" t="n">
        <f aca="false">IF(L48="Y",C48*K48,0)</f>
        <v>18</v>
      </c>
      <c r="N48" s="37" t="n">
        <f aca="false">IF(L48="Y",E48,0)</f>
        <v>2</v>
      </c>
    </row>
    <row r="49" customFormat="false" ht="15" hidden="false" customHeight="false" outlineLevel="0" collapsed="false">
      <c r="A49" s="22" t="n">
        <v>46129</v>
      </c>
      <c r="B49" s="20" t="s">
        <v>362</v>
      </c>
      <c r="C49" s="20" t="n">
        <v>2</v>
      </c>
      <c r="D49" s="20" t="n">
        <v>1.5</v>
      </c>
      <c r="E49" s="20"/>
      <c r="F49" s="20" t="n">
        <v>3</v>
      </c>
      <c r="G49" s="20" t="s">
        <v>178</v>
      </c>
      <c r="H49" s="20" t="s">
        <v>367</v>
      </c>
      <c r="I49" s="20"/>
      <c r="J49" s="22" t="n">
        <f aca="false">IF(B49="","",IF(ISNUMBER(A49),A49,DATE(2000+VALUE(RIGHT(A49,2)),VALUE(MID(A49,4,2)),VALUE(LEFT(A49,2)))))</f>
        <v>46129</v>
      </c>
      <c r="K49" s="37" t="n">
        <f aca="false">IF(B49="","",D49)</f>
        <v>1.5</v>
      </c>
      <c r="L49" s="20" t="str">
        <f aca="false">IF(AND(OR(B49="Mistri",B49="Jogali"),G49&lt;&gt;""),"Y","N")</f>
        <v>Y</v>
      </c>
      <c r="M49" s="37" t="n">
        <f aca="false">IF(L49="Y",C49*K49,0)</f>
        <v>3</v>
      </c>
      <c r="N49" s="37" t="n">
        <f aca="false">IF(L49="Y",E49,0)</f>
        <v>0</v>
      </c>
    </row>
    <row r="50" customFormat="false" ht="15" hidden="false" customHeight="false" outlineLevel="0" collapsed="false">
      <c r="A50" s="22" t="n">
        <v>46130</v>
      </c>
      <c r="B50" s="20" t="s">
        <v>360</v>
      </c>
      <c r="C50" s="20" t="n">
        <v>2</v>
      </c>
      <c r="D50" s="20" t="n">
        <v>9.5</v>
      </c>
      <c r="E50" s="20" t="n">
        <v>3</v>
      </c>
      <c r="F50" s="20" t="n">
        <v>19</v>
      </c>
      <c r="G50" s="20" t="s">
        <v>180</v>
      </c>
      <c r="H50" s="20" t="s">
        <v>361</v>
      </c>
      <c r="I50" s="20"/>
      <c r="J50" s="22" t="n">
        <f aca="false">IF(B50="","",IF(ISNUMBER(A50),A50,DATE(2000+VALUE(RIGHT(A50,2)),VALUE(MID(A50,4,2)),VALUE(LEFT(A50,2)))))</f>
        <v>46130</v>
      </c>
      <c r="K50" s="37" t="n">
        <f aca="false">IF(B50="","",D50)</f>
        <v>9.5</v>
      </c>
      <c r="L50" s="20" t="str">
        <f aca="false">IF(AND(OR(B50="Mistri",B50="Jogali"),G50&lt;&gt;""),"Y","N")</f>
        <v>Y</v>
      </c>
      <c r="M50" s="37" t="n">
        <f aca="false">IF(L50="Y",C50*K50,0)</f>
        <v>19</v>
      </c>
      <c r="N50" s="37" t="n">
        <f aca="false">IF(L50="Y",E50,0)</f>
        <v>3</v>
      </c>
    </row>
    <row r="51" customFormat="false" ht="15" hidden="false" customHeight="false" outlineLevel="0" collapsed="false">
      <c r="A51" s="22" t="n">
        <v>46130</v>
      </c>
      <c r="B51" s="20" t="s">
        <v>362</v>
      </c>
      <c r="C51" s="20" t="n">
        <v>1</v>
      </c>
      <c r="D51" s="20" t="n">
        <v>9.5</v>
      </c>
      <c r="E51" s="20" t="n">
        <v>1.5</v>
      </c>
      <c r="F51" s="20" t="n">
        <v>9.5</v>
      </c>
      <c r="G51" s="20" t="s">
        <v>180</v>
      </c>
      <c r="H51" s="20" t="s">
        <v>363</v>
      </c>
      <c r="I51" s="20"/>
      <c r="J51" s="22" t="n">
        <f aca="false">IF(B51="","",IF(ISNUMBER(A51),A51,DATE(2000+VALUE(RIGHT(A51,2)),VALUE(MID(A51,4,2)),VALUE(LEFT(A51,2)))))</f>
        <v>46130</v>
      </c>
      <c r="K51" s="37" t="n">
        <f aca="false">IF(B51="","",D51)</f>
        <v>9.5</v>
      </c>
      <c r="L51" s="20" t="str">
        <f aca="false">IF(AND(OR(B51="Mistri",B51="Jogali"),G51&lt;&gt;""),"Y","N")</f>
        <v>Y</v>
      </c>
      <c r="M51" s="37" t="n">
        <f aca="false">IF(L51="Y",C51*K51,0)</f>
        <v>9.5</v>
      </c>
      <c r="N51" s="37" t="n">
        <f aca="false">IF(L51="Y",E51,0)</f>
        <v>1.5</v>
      </c>
    </row>
    <row r="52" customFormat="false" ht="15" hidden="false" customHeight="false" outlineLevel="0" collapsed="false">
      <c r="A52" s="22" t="n">
        <v>46132</v>
      </c>
      <c r="B52" s="20" t="s">
        <v>360</v>
      </c>
      <c r="C52" s="20" t="n">
        <v>2</v>
      </c>
      <c r="D52" s="20" t="n">
        <v>6</v>
      </c>
      <c r="E52" s="20"/>
      <c r="F52" s="20" t="n">
        <v>12</v>
      </c>
      <c r="G52" s="20" t="s">
        <v>180</v>
      </c>
      <c r="H52" s="20" t="s">
        <v>361</v>
      </c>
      <c r="I52" s="20"/>
      <c r="J52" s="22" t="n">
        <f aca="false">IF(B52="","",IF(ISNUMBER(A52),A52,DATE(2000+VALUE(RIGHT(A52,2)),VALUE(MID(A52,4,2)),VALUE(LEFT(A52,2)))))</f>
        <v>46132</v>
      </c>
      <c r="K52" s="37" t="n">
        <f aca="false">IF(B52="","",D52)</f>
        <v>6</v>
      </c>
      <c r="L52" s="20" t="str">
        <f aca="false">IF(AND(OR(B52="Mistri",B52="Jogali"),G52&lt;&gt;""),"Y","N")</f>
        <v>Y</v>
      </c>
      <c r="M52" s="37" t="n">
        <f aca="false">IF(L52="Y",C52*K52,0)</f>
        <v>12</v>
      </c>
      <c r="N52" s="37" t="n">
        <f aca="false">IF(L52="Y",E52,0)</f>
        <v>0</v>
      </c>
    </row>
    <row r="53" customFormat="false" ht="15" hidden="false" customHeight="false" outlineLevel="0" collapsed="false">
      <c r="A53" s="22" t="n">
        <v>46132</v>
      </c>
      <c r="B53" s="20" t="s">
        <v>362</v>
      </c>
      <c r="C53" s="20" t="n">
        <v>1</v>
      </c>
      <c r="D53" s="20" t="n">
        <v>6</v>
      </c>
      <c r="E53" s="20"/>
      <c r="F53" s="20" t="n">
        <v>6</v>
      </c>
      <c r="G53" s="20" t="s">
        <v>180</v>
      </c>
      <c r="H53" s="20" t="s">
        <v>363</v>
      </c>
      <c r="I53" s="20"/>
      <c r="J53" s="22" t="n">
        <f aca="false">IF(B53="","",IF(ISNUMBER(A53),A53,DATE(2000+VALUE(RIGHT(A53,2)),VALUE(MID(A53,4,2)),VALUE(LEFT(A53,2)))))</f>
        <v>46132</v>
      </c>
      <c r="K53" s="37" t="n">
        <f aca="false">IF(B53="","",D53)</f>
        <v>6</v>
      </c>
      <c r="L53" s="20" t="str">
        <f aca="false">IF(AND(OR(B53="Mistri",B53="Jogali"),G53&lt;&gt;""),"Y","N")</f>
        <v>Y</v>
      </c>
      <c r="M53" s="37" t="n">
        <f aca="false">IF(L53="Y",C53*K53,0)</f>
        <v>6</v>
      </c>
      <c r="N53" s="37" t="n">
        <f aca="false">IF(L53="Y",E53,0)</f>
        <v>0</v>
      </c>
    </row>
    <row r="54" customFormat="false" ht="15" hidden="false" customHeight="false" outlineLevel="0" collapsed="false">
      <c r="A54" s="22" t="n">
        <v>46133</v>
      </c>
      <c r="B54" s="20" t="s">
        <v>362</v>
      </c>
      <c r="C54" s="20" t="n">
        <v>3</v>
      </c>
      <c r="D54" s="20" t="n">
        <v>9</v>
      </c>
      <c r="E54" s="20" t="n">
        <v>3</v>
      </c>
      <c r="F54" s="20" t="n">
        <v>27</v>
      </c>
      <c r="G54" s="20" t="s">
        <v>180</v>
      </c>
      <c r="H54" s="20" t="s">
        <v>367</v>
      </c>
      <c r="I54" s="20"/>
      <c r="J54" s="22" t="n">
        <f aca="false">IF(B54="","",IF(ISNUMBER(A54),A54,DATE(2000+VALUE(RIGHT(A54,2)),VALUE(MID(A54,4,2)),VALUE(LEFT(A54,2)))))</f>
        <v>46133</v>
      </c>
      <c r="K54" s="37" t="n">
        <f aca="false">IF(B54="","",D54)</f>
        <v>9</v>
      </c>
      <c r="L54" s="20" t="str">
        <f aca="false">IF(AND(OR(B54="Mistri",B54="Jogali"),G54&lt;&gt;""),"Y","N")</f>
        <v>Y</v>
      </c>
      <c r="M54" s="37" t="n">
        <f aca="false">IF(L54="Y",C54*K54,0)</f>
        <v>27</v>
      </c>
      <c r="N54" s="37" t="n">
        <f aca="false">IF(L54="Y",E54,0)</f>
        <v>3</v>
      </c>
    </row>
    <row r="55" customFormat="false" ht="15" hidden="false" customHeight="false" outlineLevel="0" collapsed="false">
      <c r="A55" s="22" t="n">
        <v>46134</v>
      </c>
      <c r="B55" s="20" t="s">
        <v>362</v>
      </c>
      <c r="C55" s="20" t="n">
        <v>3</v>
      </c>
      <c r="D55" s="20" t="n">
        <v>8</v>
      </c>
      <c r="E55" s="20"/>
      <c r="F55" s="20" t="n">
        <v>24</v>
      </c>
      <c r="G55" s="20" t="s">
        <v>180</v>
      </c>
      <c r="H55" s="20" t="s">
        <v>367</v>
      </c>
      <c r="I55" s="20"/>
      <c r="J55" s="22" t="n">
        <f aca="false">IF(B55="","",IF(ISNUMBER(A55),A55,DATE(2000+VALUE(RIGHT(A55,2)),VALUE(MID(A55,4,2)),VALUE(LEFT(A55,2)))))</f>
        <v>46134</v>
      </c>
      <c r="K55" s="37" t="n">
        <f aca="false">IF(B55="","",D55)</f>
        <v>8</v>
      </c>
      <c r="L55" s="20" t="str">
        <f aca="false">IF(AND(OR(B55="Mistri",B55="Jogali"),G55&lt;&gt;""),"Y","N")</f>
        <v>Y</v>
      </c>
      <c r="M55" s="37" t="n">
        <f aca="false">IF(L55="Y",C55*K55,0)</f>
        <v>24</v>
      </c>
      <c r="N55" s="37" t="n">
        <f aca="false">IF(L55="Y",E55,0)</f>
        <v>0</v>
      </c>
    </row>
    <row r="56" customFormat="false" ht="15" hidden="false" customHeight="false" outlineLevel="0" collapsed="false">
      <c r="A56" s="22" t="n">
        <v>46135</v>
      </c>
      <c r="B56" s="20" t="s">
        <v>362</v>
      </c>
      <c r="C56" s="20" t="n">
        <v>3</v>
      </c>
      <c r="D56" s="20" t="n">
        <v>1</v>
      </c>
      <c r="E56" s="20"/>
      <c r="F56" s="20" t="n">
        <v>3</v>
      </c>
      <c r="G56" s="20" t="s">
        <v>180</v>
      </c>
      <c r="H56" s="20" t="s">
        <v>367</v>
      </c>
      <c r="I56" s="20"/>
      <c r="J56" s="22" t="n">
        <f aca="false">IF(B56="","",IF(ISNUMBER(A56),A56,DATE(2000+VALUE(RIGHT(A56,2)),VALUE(MID(A56,4,2)),VALUE(LEFT(A56,2)))))</f>
        <v>46135</v>
      </c>
      <c r="K56" s="37" t="n">
        <f aca="false">IF(B56="","",D56)</f>
        <v>1</v>
      </c>
      <c r="L56" s="20" t="str">
        <f aca="false">IF(AND(OR(B56="Mistri",B56="Jogali"),G56&lt;&gt;""),"Y","N")</f>
        <v>Y</v>
      </c>
      <c r="M56" s="37" t="n">
        <f aca="false">IF(L56="Y",C56*K56,0)</f>
        <v>3</v>
      </c>
      <c r="N56" s="37" t="n">
        <f aca="false">IF(L56="Y",E56,0)</f>
        <v>0</v>
      </c>
    </row>
    <row r="57" customFormat="false" ht="15" hidden="false" customHeight="false" outlineLevel="0" collapsed="false">
      <c r="A57" s="40" t="s">
        <v>375</v>
      </c>
      <c r="B57" s="20"/>
      <c r="C57" s="20"/>
      <c r="D57" s="20"/>
      <c r="E57" s="20" t="n">
        <v>18</v>
      </c>
      <c r="F57" s="20" t="n">
        <v>229</v>
      </c>
      <c r="G57" s="20"/>
      <c r="H57" s="20"/>
      <c r="I57" s="20"/>
      <c r="J57" s="22" t="str">
        <f aca="false">IF(B57="","",IF(ISNUMBER(A57),A57,DATE(2000+VALUE(RIGHT(A57,2)),VALUE(MID(A57,4,2)),VALUE(LEFT(A57,2)))))</f>
        <v/>
      </c>
      <c r="K57" s="37" t="str">
        <f aca="false">IF(B57="","",D57)</f>
        <v/>
      </c>
      <c r="L57" s="20" t="str">
        <f aca="false">IF(AND(OR(B57="Mistri",B57="Jogali"),G57&lt;&gt;""),"Y","N")</f>
        <v>N</v>
      </c>
      <c r="M57" s="37" t="n">
        <f aca="false">IF(L57="Y",C57*K57,0)</f>
        <v>0</v>
      </c>
      <c r="N57" s="37" t="n">
        <f aca="false">IF(L57="Y",E57,0)</f>
        <v>0</v>
      </c>
    </row>
    <row r="59" customFormat="false" ht="15" hidden="false" customHeight="false" outlineLevel="0" collapsed="false">
      <c r="A59" s="22" t="n">
        <v>46151</v>
      </c>
      <c r="B59" s="20" t="s">
        <v>360</v>
      </c>
      <c r="C59" s="20" t="n">
        <v>2</v>
      </c>
      <c r="D59" s="20" t="n">
        <v>9.5</v>
      </c>
      <c r="E59" s="20" t="n">
        <v>3</v>
      </c>
      <c r="F59" s="20" t="n">
        <v>19</v>
      </c>
      <c r="G59" s="20" t="s">
        <v>181</v>
      </c>
      <c r="H59" s="20" t="s">
        <v>361</v>
      </c>
      <c r="I59" s="20" t="s">
        <v>366</v>
      </c>
      <c r="J59" s="22" t="n">
        <f aca="false">IF(B59="","",IF(ISNUMBER(A59),A59,DATE(2000+VALUE(RIGHT(A59,2)),VALUE(MID(A59,4,2)),VALUE(LEFT(A59,2)))))</f>
        <v>46151</v>
      </c>
      <c r="K59" s="37" t="n">
        <f aca="false">IF(B59="","",D59)</f>
        <v>9.5</v>
      </c>
      <c r="L59" s="20" t="str">
        <f aca="false">IF(AND(OR(B59="Mistri",B59="Jogali"),G59&lt;&gt;""),"Y","N")</f>
        <v>Y</v>
      </c>
      <c r="M59" s="37" t="n">
        <f aca="false">IF(L59="Y",C59*K59,0)</f>
        <v>19</v>
      </c>
      <c r="N59" s="37" t="n">
        <f aca="false">IF(L59="Y",E59,0)</f>
        <v>3</v>
      </c>
    </row>
    <row r="60" customFormat="false" ht="15" hidden="false" customHeight="false" outlineLevel="0" collapsed="false">
      <c r="A60" s="22" t="n">
        <v>46151</v>
      </c>
      <c r="B60" s="20" t="s">
        <v>362</v>
      </c>
      <c r="C60" s="20" t="n">
        <v>1</v>
      </c>
      <c r="D60" s="20" t="n">
        <v>9.5</v>
      </c>
      <c r="E60" s="20" t="n">
        <v>1.5</v>
      </c>
      <c r="F60" s="20" t="n">
        <v>9.5</v>
      </c>
      <c r="G60" s="20" t="s">
        <v>181</v>
      </c>
      <c r="H60" s="20" t="s">
        <v>363</v>
      </c>
      <c r="I60" s="20"/>
      <c r="J60" s="22" t="n">
        <f aca="false">IF(B60="","",IF(ISNUMBER(A60),A60,DATE(2000+VALUE(RIGHT(A60,2)),VALUE(MID(A60,4,2)),VALUE(LEFT(A60,2)))))</f>
        <v>46151</v>
      </c>
      <c r="K60" s="37" t="n">
        <f aca="false">IF(B60="","",D60)</f>
        <v>9.5</v>
      </c>
      <c r="L60" s="20" t="str">
        <f aca="false">IF(AND(OR(B60="Mistri",B60="Jogali"),G60&lt;&gt;""),"Y","N")</f>
        <v>Y</v>
      </c>
      <c r="M60" s="37" t="n">
        <f aca="false">IF(L60="Y",C60*K60,0)</f>
        <v>9.5</v>
      </c>
      <c r="N60" s="37" t="n">
        <f aca="false">IF(L60="Y",E60,0)</f>
        <v>1.5</v>
      </c>
    </row>
    <row r="61" customFormat="false" ht="15" hidden="false" customHeight="false" outlineLevel="0" collapsed="false">
      <c r="A61" s="22" t="n">
        <v>46153</v>
      </c>
      <c r="B61" s="20" t="s">
        <v>360</v>
      </c>
      <c r="C61" s="20" t="n">
        <v>2</v>
      </c>
      <c r="D61" s="20" t="n">
        <v>6</v>
      </c>
      <c r="E61" s="20"/>
      <c r="F61" s="20" t="n">
        <v>12</v>
      </c>
      <c r="G61" s="20" t="s">
        <v>181</v>
      </c>
      <c r="H61" s="20" t="s">
        <v>361</v>
      </c>
      <c r="I61" s="20"/>
      <c r="J61" s="22" t="n">
        <f aca="false">IF(B61="","",IF(ISNUMBER(A61),A61,DATE(2000+VALUE(RIGHT(A61,2)),VALUE(MID(A61,4,2)),VALUE(LEFT(A61,2)))))</f>
        <v>46153</v>
      </c>
      <c r="K61" s="37" t="n">
        <f aca="false">IF(B61="","",D61)</f>
        <v>6</v>
      </c>
      <c r="L61" s="20" t="str">
        <f aca="false">IF(AND(OR(B61="Mistri",B61="Jogali"),G61&lt;&gt;""),"Y","N")</f>
        <v>Y</v>
      </c>
      <c r="M61" s="37" t="n">
        <f aca="false">IF(L61="Y",C61*K61,0)</f>
        <v>12</v>
      </c>
      <c r="N61" s="37" t="n">
        <f aca="false">IF(L61="Y",E61,0)</f>
        <v>0</v>
      </c>
    </row>
    <row r="62" customFormat="false" ht="15" hidden="false" customHeight="false" outlineLevel="0" collapsed="false">
      <c r="A62" s="22" t="n">
        <v>46153</v>
      </c>
      <c r="B62" s="20" t="s">
        <v>362</v>
      </c>
      <c r="C62" s="20" t="n">
        <v>1</v>
      </c>
      <c r="D62" s="20" t="n">
        <v>6</v>
      </c>
      <c r="E62" s="20"/>
      <c r="F62" s="20" t="n">
        <v>6</v>
      </c>
      <c r="G62" s="20" t="s">
        <v>181</v>
      </c>
      <c r="H62" s="20" t="s">
        <v>363</v>
      </c>
      <c r="I62" s="20"/>
      <c r="J62" s="22" t="n">
        <f aca="false">IF(B62="","",IF(ISNUMBER(A62),A62,DATE(2000+VALUE(RIGHT(A62,2)),VALUE(MID(A62,4,2)),VALUE(LEFT(A62,2)))))</f>
        <v>46153</v>
      </c>
      <c r="K62" s="37" t="n">
        <f aca="false">IF(B62="","",D62)</f>
        <v>6</v>
      </c>
      <c r="L62" s="20" t="str">
        <f aca="false">IF(AND(OR(B62="Mistri",B62="Jogali"),G62&lt;&gt;""),"Y","N")</f>
        <v>Y</v>
      </c>
      <c r="M62" s="37" t="n">
        <f aca="false">IF(L62="Y",C62*K62,0)</f>
        <v>6</v>
      </c>
      <c r="N62" s="37" t="n">
        <f aca="false">IF(L62="Y",E62,0)</f>
        <v>0</v>
      </c>
    </row>
    <row r="63" customFormat="false" ht="15" hidden="false" customHeight="false" outlineLevel="0" collapsed="false">
      <c r="A63" s="22" t="n">
        <v>46154</v>
      </c>
      <c r="B63" s="20" t="s">
        <v>362</v>
      </c>
      <c r="C63" s="20" t="n">
        <v>2</v>
      </c>
      <c r="D63" s="20" t="n">
        <v>9</v>
      </c>
      <c r="E63" s="20" t="n">
        <v>2</v>
      </c>
      <c r="F63" s="20" t="n">
        <v>18</v>
      </c>
      <c r="G63" s="20" t="s">
        <v>181</v>
      </c>
      <c r="H63" s="20" t="s">
        <v>367</v>
      </c>
      <c r="I63" s="20"/>
      <c r="J63" s="22" t="n">
        <f aca="false">IF(B63="","",IF(ISNUMBER(A63),A63,DATE(2000+VALUE(RIGHT(A63,2)),VALUE(MID(A63,4,2)),VALUE(LEFT(A63,2)))))</f>
        <v>46154</v>
      </c>
      <c r="K63" s="37" t="n">
        <f aca="false">IF(B63="","",D63)</f>
        <v>9</v>
      </c>
      <c r="L63" s="20" t="str">
        <f aca="false">IF(AND(OR(B63="Mistri",B63="Jogali"),G63&lt;&gt;""),"Y","N")</f>
        <v>Y</v>
      </c>
      <c r="M63" s="37" t="n">
        <f aca="false">IF(L63="Y",C63*K63,0)</f>
        <v>18</v>
      </c>
      <c r="N63" s="37" t="n">
        <f aca="false">IF(L63="Y",E63,0)</f>
        <v>2</v>
      </c>
    </row>
    <row r="64" customFormat="false" ht="15" hidden="false" customHeight="false" outlineLevel="0" collapsed="false">
      <c r="A64" s="22" t="n">
        <v>46155</v>
      </c>
      <c r="B64" s="20" t="s">
        <v>362</v>
      </c>
      <c r="C64" s="20" t="n">
        <v>2</v>
      </c>
      <c r="D64" s="20" t="n">
        <v>9</v>
      </c>
      <c r="E64" s="20" t="n">
        <v>2</v>
      </c>
      <c r="F64" s="20" t="n">
        <v>18</v>
      </c>
      <c r="G64" s="20" t="s">
        <v>181</v>
      </c>
      <c r="H64" s="20" t="s">
        <v>367</v>
      </c>
      <c r="I64" s="20"/>
      <c r="J64" s="22" t="n">
        <f aca="false">IF(B64="","",IF(ISNUMBER(A64),A64,DATE(2000+VALUE(RIGHT(A64,2)),VALUE(MID(A64,4,2)),VALUE(LEFT(A64,2)))))</f>
        <v>46155</v>
      </c>
      <c r="K64" s="37" t="n">
        <f aca="false">IF(B64="","",D64)</f>
        <v>9</v>
      </c>
      <c r="L64" s="20" t="str">
        <f aca="false">IF(AND(OR(B64="Mistri",B64="Jogali"),G64&lt;&gt;""),"Y","N")</f>
        <v>Y</v>
      </c>
      <c r="M64" s="37" t="n">
        <f aca="false">IF(L64="Y",C64*K64,0)</f>
        <v>18</v>
      </c>
      <c r="N64" s="37" t="n">
        <f aca="false">IF(L64="Y",E64,0)</f>
        <v>2</v>
      </c>
    </row>
    <row r="65" customFormat="false" ht="15" hidden="false" customHeight="false" outlineLevel="0" collapsed="false">
      <c r="A65" s="22" t="n">
        <v>46156</v>
      </c>
      <c r="B65" s="20" t="s">
        <v>362</v>
      </c>
      <c r="C65" s="20" t="n">
        <v>2</v>
      </c>
      <c r="D65" s="20" t="n">
        <v>3.5</v>
      </c>
      <c r="E65" s="20"/>
      <c r="F65" s="20" t="n">
        <v>7</v>
      </c>
      <c r="G65" s="20" t="s">
        <v>181</v>
      </c>
      <c r="H65" s="20" t="s">
        <v>367</v>
      </c>
      <c r="I65" s="20"/>
      <c r="J65" s="22" t="n">
        <f aca="false">IF(B65="","",IF(ISNUMBER(A65),A65,DATE(2000+VALUE(RIGHT(A65,2)),VALUE(MID(A65,4,2)),VALUE(LEFT(A65,2)))))</f>
        <v>46156</v>
      </c>
      <c r="K65" s="37" t="n">
        <f aca="false">IF(B65="","",D65)</f>
        <v>3.5</v>
      </c>
      <c r="L65" s="20" t="str">
        <f aca="false">IF(AND(OR(B65="Mistri",B65="Jogali"),G65&lt;&gt;""),"Y","N")</f>
        <v>Y</v>
      </c>
      <c r="M65" s="37" t="n">
        <f aca="false">IF(L65="Y",C65*K65,0)</f>
        <v>7</v>
      </c>
      <c r="N65" s="37" t="n">
        <f aca="false">IF(L65="Y",E65,0)</f>
        <v>0</v>
      </c>
    </row>
    <row r="66" customFormat="false" ht="15" hidden="false" customHeight="false" outlineLevel="0" collapsed="false">
      <c r="A66" s="40" t="s">
        <v>376</v>
      </c>
      <c r="B66" s="20"/>
      <c r="C66" s="20"/>
      <c r="D66" s="20"/>
      <c r="E66" s="20" t="n">
        <v>8.5</v>
      </c>
      <c r="F66" s="20" t="n">
        <v>89.5</v>
      </c>
      <c r="G66" s="20"/>
      <c r="H66" s="20"/>
      <c r="I66" s="20"/>
      <c r="J66" s="22" t="str">
        <f aca="false">IF(B66="","",IF(ISNUMBER(A66),A66,DATE(2000+VALUE(RIGHT(A66,2)),VALUE(MID(A66,4,2)),VALUE(LEFT(A66,2)))))</f>
        <v/>
      </c>
      <c r="K66" s="37" t="str">
        <f aca="false">IF(B66="","",D66)</f>
        <v/>
      </c>
      <c r="L66" s="20" t="str">
        <f aca="false">IF(AND(OR(B66="Mistri",B66="Jogali"),G66&lt;&gt;""),"Y","N")</f>
        <v>N</v>
      </c>
      <c r="M66" s="37" t="n">
        <f aca="false">IF(L66="Y",C66*K66,0)</f>
        <v>0</v>
      </c>
      <c r="N66" s="37" t="n">
        <f aca="false">IF(L66="Y",E66,0)</f>
        <v>0</v>
      </c>
    </row>
    <row r="68" customFormat="false" ht="15" hidden="false" customHeight="false" outlineLevel="0" collapsed="false">
      <c r="A68" s="22" t="n">
        <v>46176</v>
      </c>
      <c r="B68" s="20" t="s">
        <v>360</v>
      </c>
      <c r="C68" s="20" t="n">
        <v>1</v>
      </c>
      <c r="D68" s="20" t="n">
        <v>5</v>
      </c>
      <c r="E68" s="20"/>
      <c r="F68" s="20" t="n">
        <v>5</v>
      </c>
      <c r="G68" s="20" t="s">
        <v>182</v>
      </c>
      <c r="H68" s="20" t="s">
        <v>361</v>
      </c>
      <c r="I68" s="20"/>
      <c r="J68" s="22" t="n">
        <f aca="false">IF(B68="","",IF(ISNUMBER(A68),A68,DATE(2000+VALUE(RIGHT(A68,2)),VALUE(MID(A68,4,2)),VALUE(LEFT(A68,2)))))</f>
        <v>46176</v>
      </c>
      <c r="K68" s="37" t="n">
        <f aca="false">IF(B68="","",D68)</f>
        <v>5</v>
      </c>
      <c r="L68" s="20" t="str">
        <f aca="false">IF(AND(OR(B68="Mistri",B68="Jogali"),G68&lt;&gt;""),"Y","N")</f>
        <v>Y</v>
      </c>
      <c r="M68" s="37" t="n">
        <f aca="false">IF(L68="Y",C68*K68,0)</f>
        <v>5</v>
      </c>
      <c r="N68" s="37" t="n">
        <f aca="false">IF(L68="Y",E68,0)</f>
        <v>0</v>
      </c>
    </row>
    <row r="69" customFormat="false" ht="15" hidden="false" customHeight="false" outlineLevel="0" collapsed="false">
      <c r="A69" s="22" t="n">
        <v>46176</v>
      </c>
      <c r="B69" s="20" t="s">
        <v>362</v>
      </c>
      <c r="C69" s="20" t="n">
        <v>1</v>
      </c>
      <c r="D69" s="20" t="n">
        <v>5</v>
      </c>
      <c r="E69" s="20"/>
      <c r="F69" s="20" t="n">
        <v>5</v>
      </c>
      <c r="G69" s="20" t="s">
        <v>182</v>
      </c>
      <c r="H69" s="20" t="s">
        <v>363</v>
      </c>
      <c r="I69" s="20"/>
      <c r="J69" s="22" t="n">
        <f aca="false">IF(B69="","",IF(ISNUMBER(A69),A69,DATE(2000+VALUE(RIGHT(A69,2)),VALUE(MID(A69,4,2)),VALUE(LEFT(A69,2)))))</f>
        <v>46176</v>
      </c>
      <c r="K69" s="37" t="n">
        <f aca="false">IF(B69="","",D69)</f>
        <v>5</v>
      </c>
      <c r="L69" s="20" t="str">
        <f aca="false">IF(AND(OR(B69="Mistri",B69="Jogali"),G69&lt;&gt;""),"Y","N")</f>
        <v>Y</v>
      </c>
      <c r="M69" s="37" t="n">
        <f aca="false">IF(L69="Y",C69*K69,0)</f>
        <v>5</v>
      </c>
      <c r="N69" s="37" t="n">
        <f aca="false">IF(L69="Y",E69,0)</f>
        <v>0</v>
      </c>
    </row>
    <row r="70" customFormat="false" ht="15" hidden="false" customHeight="false" outlineLevel="0" collapsed="false">
      <c r="A70" s="22" t="n">
        <v>46177</v>
      </c>
      <c r="B70" s="20" t="s">
        <v>362</v>
      </c>
      <c r="C70" s="20" t="n">
        <v>2</v>
      </c>
      <c r="D70" s="20" t="n">
        <v>2.5</v>
      </c>
      <c r="E70" s="20"/>
      <c r="F70" s="20" t="n">
        <v>5</v>
      </c>
      <c r="G70" s="20" t="s">
        <v>182</v>
      </c>
      <c r="H70" s="20" t="s">
        <v>364</v>
      </c>
      <c r="I70" s="20"/>
      <c r="J70" s="22" t="n">
        <f aca="false">IF(B70="","",IF(ISNUMBER(A70),A70,DATE(2000+VALUE(RIGHT(A70,2)),VALUE(MID(A70,4,2)),VALUE(LEFT(A70,2)))))</f>
        <v>46177</v>
      </c>
      <c r="K70" s="37" t="n">
        <f aca="false">IF(B70="","",D70)</f>
        <v>2.5</v>
      </c>
      <c r="L70" s="20" t="str">
        <f aca="false">IF(AND(OR(B70="Mistri",B70="Jogali"),G70&lt;&gt;""),"Y","N")</f>
        <v>Y</v>
      </c>
      <c r="M70" s="37" t="n">
        <f aca="false">IF(L70="Y",C70*K70,0)</f>
        <v>5</v>
      </c>
      <c r="N70" s="37" t="n">
        <f aca="false">IF(L70="Y",E70,0)</f>
        <v>0</v>
      </c>
    </row>
    <row r="71" customFormat="false" ht="15" hidden="false" customHeight="false" outlineLevel="0" collapsed="false">
      <c r="A71" s="22" t="n">
        <v>46185</v>
      </c>
      <c r="B71" s="20" t="s">
        <v>360</v>
      </c>
      <c r="C71" s="20" t="n">
        <v>2</v>
      </c>
      <c r="D71" s="20" t="n">
        <v>9.5</v>
      </c>
      <c r="E71" s="20" t="n">
        <v>3</v>
      </c>
      <c r="F71" s="20" t="n">
        <v>19</v>
      </c>
      <c r="G71" s="20" t="s">
        <v>184</v>
      </c>
      <c r="H71" s="20" t="s">
        <v>361</v>
      </c>
      <c r="I71" s="20" t="s">
        <v>366</v>
      </c>
      <c r="J71" s="22" t="n">
        <f aca="false">IF(B71="","",IF(ISNUMBER(A71),A71,DATE(2000+VALUE(RIGHT(A71,2)),VALUE(MID(A71,4,2)),VALUE(LEFT(A71,2)))))</f>
        <v>46185</v>
      </c>
      <c r="K71" s="37" t="n">
        <f aca="false">IF(B71="","",D71)</f>
        <v>9.5</v>
      </c>
      <c r="L71" s="20" t="str">
        <f aca="false">IF(AND(OR(B71="Mistri",B71="Jogali"),G71&lt;&gt;""),"Y","N")</f>
        <v>Y</v>
      </c>
      <c r="M71" s="37" t="n">
        <f aca="false">IF(L71="Y",C71*K71,0)</f>
        <v>19</v>
      </c>
      <c r="N71" s="37" t="n">
        <f aca="false">IF(L71="Y",E71,0)</f>
        <v>3</v>
      </c>
    </row>
    <row r="72" customFormat="false" ht="15" hidden="false" customHeight="false" outlineLevel="0" collapsed="false">
      <c r="A72" s="22" t="n">
        <v>46185</v>
      </c>
      <c r="B72" s="20" t="s">
        <v>362</v>
      </c>
      <c r="C72" s="20" t="n">
        <v>1</v>
      </c>
      <c r="D72" s="20" t="n">
        <v>9.5</v>
      </c>
      <c r="E72" s="20" t="n">
        <v>1.5</v>
      </c>
      <c r="F72" s="20" t="n">
        <v>9.5</v>
      </c>
      <c r="G72" s="20" t="s">
        <v>184</v>
      </c>
      <c r="H72" s="20" t="s">
        <v>363</v>
      </c>
      <c r="I72" s="20"/>
      <c r="J72" s="22" t="n">
        <f aca="false">IF(B72="","",IF(ISNUMBER(A72),A72,DATE(2000+VALUE(RIGHT(A72,2)),VALUE(MID(A72,4,2)),VALUE(LEFT(A72,2)))))</f>
        <v>46185</v>
      </c>
      <c r="K72" s="37" t="n">
        <f aca="false">IF(B72="","",D72)</f>
        <v>9.5</v>
      </c>
      <c r="L72" s="20" t="str">
        <f aca="false">IF(AND(OR(B72="Mistri",B72="Jogali"),G72&lt;&gt;""),"Y","N")</f>
        <v>Y</v>
      </c>
      <c r="M72" s="37" t="n">
        <f aca="false">IF(L72="Y",C72*K72,0)</f>
        <v>9.5</v>
      </c>
      <c r="N72" s="37" t="n">
        <f aca="false">IF(L72="Y",E72,0)</f>
        <v>1.5</v>
      </c>
    </row>
    <row r="73" customFormat="false" ht="15" hidden="false" customHeight="false" outlineLevel="0" collapsed="false">
      <c r="A73" s="22" t="n">
        <v>46186</v>
      </c>
      <c r="B73" s="20" t="s">
        <v>360</v>
      </c>
      <c r="C73" s="20" t="n">
        <v>2</v>
      </c>
      <c r="D73" s="20" t="n">
        <v>5.5</v>
      </c>
      <c r="E73" s="20"/>
      <c r="F73" s="20" t="n">
        <v>11</v>
      </c>
      <c r="G73" s="20" t="s">
        <v>184</v>
      </c>
      <c r="H73" s="20" t="s">
        <v>361</v>
      </c>
      <c r="I73" s="20"/>
      <c r="J73" s="22" t="n">
        <f aca="false">IF(B73="","",IF(ISNUMBER(A73),A73,DATE(2000+VALUE(RIGHT(A73,2)),VALUE(MID(A73,4,2)),VALUE(LEFT(A73,2)))))</f>
        <v>46186</v>
      </c>
      <c r="K73" s="37" t="n">
        <f aca="false">IF(B73="","",D73)</f>
        <v>5.5</v>
      </c>
      <c r="L73" s="20" t="str">
        <f aca="false">IF(AND(OR(B73="Mistri",B73="Jogali"),G73&lt;&gt;""),"Y","N")</f>
        <v>Y</v>
      </c>
      <c r="M73" s="37" t="n">
        <f aca="false">IF(L73="Y",C73*K73,0)</f>
        <v>11</v>
      </c>
      <c r="N73" s="37" t="n">
        <f aca="false">IF(L73="Y",E73,0)</f>
        <v>0</v>
      </c>
    </row>
    <row r="74" customFormat="false" ht="15" hidden="false" customHeight="false" outlineLevel="0" collapsed="false">
      <c r="A74" s="22" t="n">
        <v>46186</v>
      </c>
      <c r="B74" s="20" t="s">
        <v>362</v>
      </c>
      <c r="C74" s="20" t="n">
        <v>1</v>
      </c>
      <c r="D74" s="20" t="n">
        <v>5.5</v>
      </c>
      <c r="E74" s="20"/>
      <c r="F74" s="20" t="n">
        <v>5.5</v>
      </c>
      <c r="G74" s="20" t="s">
        <v>184</v>
      </c>
      <c r="H74" s="20" t="s">
        <v>363</v>
      </c>
      <c r="I74" s="20"/>
      <c r="J74" s="22" t="n">
        <f aca="false">IF(B74="","",IF(ISNUMBER(A74),A74,DATE(2000+VALUE(RIGHT(A74,2)),VALUE(MID(A74,4,2)),VALUE(LEFT(A74,2)))))</f>
        <v>46186</v>
      </c>
      <c r="K74" s="37" t="n">
        <f aca="false">IF(B74="","",D74)</f>
        <v>5.5</v>
      </c>
      <c r="L74" s="20" t="str">
        <f aca="false">IF(AND(OR(B74="Mistri",B74="Jogali"),G74&lt;&gt;""),"Y","N")</f>
        <v>Y</v>
      </c>
      <c r="M74" s="37" t="n">
        <f aca="false">IF(L74="Y",C74*K74,0)</f>
        <v>5.5</v>
      </c>
      <c r="N74" s="37" t="n">
        <f aca="false">IF(L74="Y",E74,0)</f>
        <v>0</v>
      </c>
    </row>
    <row r="75" customFormat="false" ht="15" hidden="false" customHeight="false" outlineLevel="0" collapsed="false">
      <c r="A75" s="22" t="n">
        <v>46188</v>
      </c>
      <c r="B75" s="20" t="s">
        <v>362</v>
      </c>
      <c r="C75" s="20" t="n">
        <v>2</v>
      </c>
      <c r="D75" s="20" t="n">
        <v>9</v>
      </c>
      <c r="E75" s="20" t="n">
        <v>2</v>
      </c>
      <c r="F75" s="20" t="n">
        <v>18</v>
      </c>
      <c r="G75" s="20" t="s">
        <v>184</v>
      </c>
      <c r="H75" s="20" t="s">
        <v>367</v>
      </c>
      <c r="I75" s="20"/>
      <c r="J75" s="22" t="n">
        <f aca="false">IF(B75="","",IF(ISNUMBER(A75),A75,DATE(2000+VALUE(RIGHT(A75,2)),VALUE(MID(A75,4,2)),VALUE(LEFT(A75,2)))))</f>
        <v>46188</v>
      </c>
      <c r="K75" s="37" t="n">
        <f aca="false">IF(B75="","",D75)</f>
        <v>9</v>
      </c>
      <c r="L75" s="20" t="str">
        <f aca="false">IF(AND(OR(B75="Mistri",B75="Jogali"),G75&lt;&gt;""),"Y","N")</f>
        <v>Y</v>
      </c>
      <c r="M75" s="37" t="n">
        <f aca="false">IF(L75="Y",C75*K75,0)</f>
        <v>18</v>
      </c>
      <c r="N75" s="37" t="n">
        <f aca="false">IF(L75="Y",E75,0)</f>
        <v>2</v>
      </c>
    </row>
    <row r="76" customFormat="false" ht="15" hidden="false" customHeight="false" outlineLevel="0" collapsed="false">
      <c r="A76" s="22" t="n">
        <v>46189</v>
      </c>
      <c r="B76" s="20" t="s">
        <v>362</v>
      </c>
      <c r="C76" s="20" t="n">
        <v>2</v>
      </c>
      <c r="D76" s="20" t="n">
        <v>9</v>
      </c>
      <c r="E76" s="20" t="n">
        <v>2</v>
      </c>
      <c r="F76" s="20" t="n">
        <v>18</v>
      </c>
      <c r="G76" s="20" t="s">
        <v>184</v>
      </c>
      <c r="H76" s="20" t="s">
        <v>367</v>
      </c>
      <c r="I76" s="20"/>
      <c r="J76" s="22" t="n">
        <f aca="false">IF(B76="","",IF(ISNUMBER(A76),A76,DATE(2000+VALUE(RIGHT(A76,2)),VALUE(MID(A76,4,2)),VALUE(LEFT(A76,2)))))</f>
        <v>46189</v>
      </c>
      <c r="K76" s="37" t="n">
        <f aca="false">IF(B76="","",D76)</f>
        <v>9</v>
      </c>
      <c r="L76" s="20" t="str">
        <f aca="false">IF(AND(OR(B76="Mistri",B76="Jogali"),G76&lt;&gt;""),"Y","N")</f>
        <v>Y</v>
      </c>
      <c r="M76" s="37" t="n">
        <f aca="false">IF(L76="Y",C76*K76,0)</f>
        <v>18</v>
      </c>
      <c r="N76" s="37" t="n">
        <f aca="false">IF(L76="Y",E76,0)</f>
        <v>2</v>
      </c>
    </row>
    <row r="77" customFormat="false" ht="15" hidden="false" customHeight="false" outlineLevel="0" collapsed="false">
      <c r="A77" s="22" t="n">
        <v>46190</v>
      </c>
      <c r="B77" s="20" t="s">
        <v>362</v>
      </c>
      <c r="C77" s="20" t="n">
        <v>2</v>
      </c>
      <c r="D77" s="20" t="n">
        <v>9</v>
      </c>
      <c r="E77" s="20" t="n">
        <v>2</v>
      </c>
      <c r="F77" s="20" t="n">
        <v>18</v>
      </c>
      <c r="G77" s="20" t="s">
        <v>184</v>
      </c>
      <c r="H77" s="20" t="s">
        <v>367</v>
      </c>
      <c r="I77" s="20"/>
      <c r="J77" s="22" t="n">
        <f aca="false">IF(B77="","",IF(ISNUMBER(A77),A77,DATE(2000+VALUE(RIGHT(A77,2)),VALUE(MID(A77,4,2)),VALUE(LEFT(A77,2)))))</f>
        <v>46190</v>
      </c>
      <c r="K77" s="37" t="n">
        <f aca="false">IF(B77="","",D77)</f>
        <v>9</v>
      </c>
      <c r="L77" s="20" t="str">
        <f aca="false">IF(AND(OR(B77="Mistri",B77="Jogali"),G77&lt;&gt;""),"Y","N")</f>
        <v>Y</v>
      </c>
      <c r="M77" s="37" t="n">
        <f aca="false">IF(L77="Y",C77*K77,0)</f>
        <v>18</v>
      </c>
      <c r="N77" s="37" t="n">
        <f aca="false">IF(L77="Y",E77,0)</f>
        <v>2</v>
      </c>
    </row>
    <row r="78" customFormat="false" ht="15" hidden="false" customHeight="false" outlineLevel="0" collapsed="false">
      <c r="A78" s="22" t="n">
        <v>46191</v>
      </c>
      <c r="B78" s="20" t="s">
        <v>362</v>
      </c>
      <c r="C78" s="20" t="n">
        <v>2</v>
      </c>
      <c r="D78" s="20" t="n">
        <v>1</v>
      </c>
      <c r="E78" s="20"/>
      <c r="F78" s="20" t="n">
        <v>2</v>
      </c>
      <c r="G78" s="20" t="s">
        <v>184</v>
      </c>
      <c r="H78" s="20" t="s">
        <v>367</v>
      </c>
      <c r="I78" s="20"/>
      <c r="J78" s="22" t="n">
        <f aca="false">IF(B78="","",IF(ISNUMBER(A78),A78,DATE(2000+VALUE(RIGHT(A78,2)),VALUE(MID(A78,4,2)),VALUE(LEFT(A78,2)))))</f>
        <v>46191</v>
      </c>
      <c r="K78" s="37" t="n">
        <f aca="false">IF(B78="","",D78)</f>
        <v>1</v>
      </c>
      <c r="L78" s="20" t="str">
        <f aca="false">IF(AND(OR(B78="Mistri",B78="Jogali"),G78&lt;&gt;""),"Y","N")</f>
        <v>Y</v>
      </c>
      <c r="M78" s="37" t="n">
        <f aca="false">IF(L78="Y",C78*K78,0)</f>
        <v>2</v>
      </c>
      <c r="N78" s="37" t="n">
        <f aca="false">IF(L78="Y",E78,0)</f>
        <v>0</v>
      </c>
    </row>
    <row r="79" customFormat="false" ht="15" hidden="false" customHeight="false" outlineLevel="0" collapsed="false">
      <c r="A79" s="22" t="n">
        <v>46191</v>
      </c>
      <c r="B79" s="20" t="s">
        <v>362</v>
      </c>
      <c r="C79" s="20" t="n">
        <v>2</v>
      </c>
      <c r="D79" s="20" t="n">
        <v>8</v>
      </c>
      <c r="E79" s="20"/>
      <c r="F79" s="20" t="n">
        <v>16</v>
      </c>
      <c r="G79" s="20"/>
      <c r="H79" s="20" t="s">
        <v>377</v>
      </c>
      <c r="I79" s="20"/>
      <c r="J79" s="22" t="n">
        <f aca="false">IF(B79="","",IF(ISNUMBER(A79),A79,DATE(2000+VALUE(RIGHT(A79,2)),VALUE(MID(A79,4,2)),VALUE(LEFT(A79,2)))))</f>
        <v>46191</v>
      </c>
      <c r="K79" s="37" t="n">
        <f aca="false">IF(B79="","",D79)</f>
        <v>8</v>
      </c>
      <c r="L79" s="20" t="str">
        <f aca="false">IF(AND(OR(B79="Mistri",B79="Jogali"),G79&lt;&gt;""),"Y","N")</f>
        <v>N</v>
      </c>
      <c r="M79" s="37" t="n">
        <f aca="false">IF(L79="Y",C79*K79,0)</f>
        <v>0</v>
      </c>
      <c r="N79" s="37" t="n">
        <f aca="false">IF(L79="Y",E79,0)</f>
        <v>0</v>
      </c>
    </row>
    <row r="80" customFormat="false" ht="15" hidden="false" customHeight="false" outlineLevel="0" collapsed="false">
      <c r="A80" s="40" t="s">
        <v>378</v>
      </c>
      <c r="B80" s="20"/>
      <c r="C80" s="20"/>
      <c r="D80" s="20"/>
      <c r="E80" s="20" t="n">
        <v>10.5</v>
      </c>
      <c r="F80" s="20" t="n">
        <v>132</v>
      </c>
      <c r="G80" s="20"/>
      <c r="H80" s="20"/>
      <c r="I80" s="20"/>
      <c r="J80" s="22" t="str">
        <f aca="false">IF(B80="","",IF(ISNUMBER(A80),A80,DATE(2000+VALUE(RIGHT(A80,2)),VALUE(MID(A80,4,2)),VALUE(LEFT(A80,2)))))</f>
        <v/>
      </c>
      <c r="K80" s="37" t="str">
        <f aca="false">IF(B80="","",D80)</f>
        <v/>
      </c>
      <c r="L80" s="20" t="str">
        <f aca="false">IF(AND(OR(B80="Mistri",B80="Jogali"),G80&lt;&gt;""),"Y","N")</f>
        <v>N</v>
      </c>
      <c r="M80" s="37" t="n">
        <f aca="false">IF(L80="Y",C80*K80,0)</f>
        <v>0</v>
      </c>
      <c r="N80" s="37" t="n">
        <f aca="false">IF(L80="Y",E80,0)</f>
        <v>0</v>
      </c>
    </row>
    <row r="82" customFormat="false" ht="15" hidden="false" customHeight="false" outlineLevel="0" collapsed="false">
      <c r="A82" s="22" t="n">
        <v>46223</v>
      </c>
      <c r="B82" s="20" t="s">
        <v>360</v>
      </c>
      <c r="C82" s="20" t="n">
        <v>2</v>
      </c>
      <c r="D82" s="20" t="n">
        <v>9.5</v>
      </c>
      <c r="E82" s="20" t="n">
        <v>3</v>
      </c>
      <c r="F82" s="20" t="n">
        <v>19</v>
      </c>
      <c r="G82" s="20" t="s">
        <v>185</v>
      </c>
      <c r="H82" s="20" t="s">
        <v>361</v>
      </c>
      <c r="I82" s="20"/>
      <c r="J82" s="22" t="n">
        <f aca="false">IF(B82="","",IF(ISNUMBER(A82),A82,DATE(2000+VALUE(RIGHT(A82,2)),VALUE(MID(A82,4,2)),VALUE(LEFT(A82,2)))))</f>
        <v>46223</v>
      </c>
      <c r="K82" s="37" t="n">
        <f aca="false">IF(B82="","",D82)</f>
        <v>9.5</v>
      </c>
      <c r="L82" s="20" t="str">
        <f aca="false">IF(AND(OR(B82="Mistri",B82="Jogali"),G82&lt;&gt;""),"Y","N")</f>
        <v>Y</v>
      </c>
      <c r="M82" s="37" t="n">
        <f aca="false">IF(L82="Y",C82*K82,0)</f>
        <v>19</v>
      </c>
      <c r="N82" s="37" t="n">
        <f aca="false">IF(L82="Y",E82,0)</f>
        <v>3</v>
      </c>
    </row>
    <row r="83" customFormat="false" ht="15" hidden="false" customHeight="false" outlineLevel="0" collapsed="false">
      <c r="A83" s="22" t="n">
        <v>46223</v>
      </c>
      <c r="B83" s="20" t="s">
        <v>362</v>
      </c>
      <c r="C83" s="20" t="n">
        <v>1</v>
      </c>
      <c r="D83" s="20" t="n">
        <v>9.5</v>
      </c>
      <c r="E83" s="20" t="n">
        <v>1.5</v>
      </c>
      <c r="F83" s="20" t="n">
        <v>9.5</v>
      </c>
      <c r="G83" s="20" t="s">
        <v>185</v>
      </c>
      <c r="H83" s="20" t="s">
        <v>363</v>
      </c>
      <c r="I83" s="20"/>
      <c r="J83" s="22" t="n">
        <f aca="false">IF(B83="","",IF(ISNUMBER(A83),A83,DATE(2000+VALUE(RIGHT(A83,2)),VALUE(MID(A83,4,2)),VALUE(LEFT(A83,2)))))</f>
        <v>46223</v>
      </c>
      <c r="K83" s="37" t="n">
        <f aca="false">IF(B83="","",D83)</f>
        <v>9.5</v>
      </c>
      <c r="L83" s="20" t="str">
        <f aca="false">IF(AND(OR(B83="Mistri",B83="Jogali"),G83&lt;&gt;""),"Y","N")</f>
        <v>Y</v>
      </c>
      <c r="M83" s="37" t="n">
        <f aca="false">IF(L83="Y",C83*K83,0)</f>
        <v>9.5</v>
      </c>
      <c r="N83" s="37" t="n">
        <f aca="false">IF(L83="Y",E83,0)</f>
        <v>1.5</v>
      </c>
    </row>
    <row r="84" customFormat="false" ht="15" hidden="false" customHeight="false" outlineLevel="0" collapsed="false">
      <c r="A84" s="22" t="n">
        <v>46224</v>
      </c>
      <c r="B84" s="20" t="s">
        <v>360</v>
      </c>
      <c r="C84" s="20" t="n">
        <v>2</v>
      </c>
      <c r="D84" s="20" t="n">
        <v>1</v>
      </c>
      <c r="E84" s="20"/>
      <c r="F84" s="20" t="n">
        <v>2</v>
      </c>
      <c r="G84" s="20" t="s">
        <v>185</v>
      </c>
      <c r="H84" s="20" t="s">
        <v>361</v>
      </c>
      <c r="I84" s="20"/>
      <c r="J84" s="22" t="n">
        <f aca="false">IF(B84="","",IF(ISNUMBER(A84),A84,DATE(2000+VALUE(RIGHT(A84,2)),VALUE(MID(A84,4,2)),VALUE(LEFT(A84,2)))))</f>
        <v>46224</v>
      </c>
      <c r="K84" s="37" t="n">
        <f aca="false">IF(B84="","",D84)</f>
        <v>1</v>
      </c>
      <c r="L84" s="20" t="str">
        <f aca="false">IF(AND(OR(B84="Mistri",B84="Jogali"),G84&lt;&gt;""),"Y","N")</f>
        <v>Y</v>
      </c>
      <c r="M84" s="37" t="n">
        <f aca="false">IF(L84="Y",C84*K84,0)</f>
        <v>2</v>
      </c>
      <c r="N84" s="37" t="n">
        <f aca="false">IF(L84="Y",E84,0)</f>
        <v>0</v>
      </c>
    </row>
    <row r="85" customFormat="false" ht="15" hidden="false" customHeight="false" outlineLevel="0" collapsed="false">
      <c r="A85" s="22" t="n">
        <v>46224</v>
      </c>
      <c r="B85" s="20" t="s">
        <v>362</v>
      </c>
      <c r="C85" s="20" t="n">
        <v>1</v>
      </c>
      <c r="D85" s="20" t="n">
        <v>1</v>
      </c>
      <c r="E85" s="20"/>
      <c r="F85" s="20" t="n">
        <v>1</v>
      </c>
      <c r="G85" s="20" t="s">
        <v>185</v>
      </c>
      <c r="H85" s="20" t="s">
        <v>363</v>
      </c>
      <c r="I85" s="20"/>
      <c r="J85" s="22" t="n">
        <f aca="false">IF(B85="","",IF(ISNUMBER(A85),A85,DATE(2000+VALUE(RIGHT(A85,2)),VALUE(MID(A85,4,2)),VALUE(LEFT(A85,2)))))</f>
        <v>46224</v>
      </c>
      <c r="K85" s="37" t="n">
        <f aca="false">IF(B85="","",D85)</f>
        <v>1</v>
      </c>
      <c r="L85" s="20" t="str">
        <f aca="false">IF(AND(OR(B85="Mistri",B85="Jogali"),G85&lt;&gt;""),"Y","N")</f>
        <v>Y</v>
      </c>
      <c r="M85" s="37" t="n">
        <f aca="false">IF(L85="Y",C85*K85,0)</f>
        <v>1</v>
      </c>
      <c r="N85" s="37" t="n">
        <f aca="false">IF(L85="Y",E85,0)</f>
        <v>0</v>
      </c>
    </row>
    <row r="86" customFormat="false" ht="15" hidden="false" customHeight="false" outlineLevel="0" collapsed="false">
      <c r="A86" s="22" t="n">
        <v>46225</v>
      </c>
      <c r="B86" s="20" t="s">
        <v>362</v>
      </c>
      <c r="C86" s="20" t="n">
        <v>3</v>
      </c>
      <c r="D86" s="20" t="n">
        <v>9</v>
      </c>
      <c r="E86" s="20" t="n">
        <v>3</v>
      </c>
      <c r="F86" s="20" t="n">
        <v>27</v>
      </c>
      <c r="G86" s="20" t="s">
        <v>185</v>
      </c>
      <c r="H86" s="20" t="s">
        <v>364</v>
      </c>
      <c r="I86" s="20"/>
      <c r="J86" s="22" t="n">
        <f aca="false">IF(B86="","",IF(ISNUMBER(A86),A86,DATE(2000+VALUE(RIGHT(A86,2)),VALUE(MID(A86,4,2)),VALUE(LEFT(A86,2)))))</f>
        <v>46225</v>
      </c>
      <c r="K86" s="37" t="n">
        <f aca="false">IF(B86="","",D86)</f>
        <v>9</v>
      </c>
      <c r="L86" s="20" t="str">
        <f aca="false">IF(AND(OR(B86="Mistri",B86="Jogali"),G86&lt;&gt;""),"Y","N")</f>
        <v>Y</v>
      </c>
      <c r="M86" s="37" t="n">
        <f aca="false">IF(L86="Y",C86*K86,0)</f>
        <v>27</v>
      </c>
      <c r="N86" s="37" t="n">
        <f aca="false">IF(L86="Y",E86,0)</f>
        <v>3</v>
      </c>
    </row>
    <row r="87" customFormat="false" ht="15" hidden="false" customHeight="false" outlineLevel="0" collapsed="false">
      <c r="A87" s="22" t="n">
        <v>46226</v>
      </c>
      <c r="B87" s="20" t="s">
        <v>362</v>
      </c>
      <c r="C87" s="20" t="n">
        <v>3</v>
      </c>
      <c r="D87" s="20" t="n">
        <v>5.5</v>
      </c>
      <c r="E87" s="20"/>
      <c r="F87" s="20" t="n">
        <v>16.5</v>
      </c>
      <c r="G87" s="20" t="s">
        <v>185</v>
      </c>
      <c r="H87" s="20" t="s">
        <v>364</v>
      </c>
      <c r="I87" s="20"/>
      <c r="J87" s="22" t="n">
        <f aca="false">IF(B87="","",IF(ISNUMBER(A87),A87,DATE(2000+VALUE(RIGHT(A87,2)),VALUE(MID(A87,4,2)),VALUE(LEFT(A87,2)))))</f>
        <v>46226</v>
      </c>
      <c r="K87" s="37" t="n">
        <f aca="false">IF(B87="","",D87)</f>
        <v>5.5</v>
      </c>
      <c r="L87" s="20" t="str">
        <f aca="false">IF(AND(OR(B87="Mistri",B87="Jogali"),G87&lt;&gt;""),"Y","N")</f>
        <v>Y</v>
      </c>
      <c r="M87" s="37" t="n">
        <f aca="false">IF(L87="Y",C87*K87,0)</f>
        <v>16.5</v>
      </c>
      <c r="N87" s="37" t="n">
        <f aca="false">IF(L87="Y",E87,0)</f>
        <v>0</v>
      </c>
    </row>
    <row r="88" customFormat="false" ht="15" hidden="false" customHeight="false" outlineLevel="0" collapsed="false">
      <c r="A88" s="22" t="n">
        <v>46229</v>
      </c>
      <c r="B88" s="20" t="s">
        <v>362</v>
      </c>
      <c r="C88" s="20" t="n">
        <v>2</v>
      </c>
      <c r="D88" s="20" t="n">
        <v>2.5</v>
      </c>
      <c r="E88" s="20"/>
      <c r="F88" s="20" t="n">
        <v>5</v>
      </c>
      <c r="G88" s="20" t="s">
        <v>185</v>
      </c>
      <c r="H88" s="20" t="s">
        <v>379</v>
      </c>
      <c r="I88" s="20" t="s">
        <v>380</v>
      </c>
      <c r="J88" s="22" t="n">
        <f aca="false">IF(B88="","",IF(ISNUMBER(A88),A88,DATE(2000+VALUE(RIGHT(A88,2)),VALUE(MID(A88,4,2)),VALUE(LEFT(A88,2)))))</f>
        <v>46229</v>
      </c>
      <c r="K88" s="37" t="n">
        <f aca="false">IF(B88="","",D88)</f>
        <v>2.5</v>
      </c>
      <c r="L88" s="20" t="str">
        <f aca="false">IF(AND(OR(B88="Mistri",B88="Jogali"),G88&lt;&gt;""),"Y","N")</f>
        <v>Y</v>
      </c>
      <c r="M88" s="37" t="n">
        <f aca="false">IF(L88="Y",C88*K88,0)</f>
        <v>5</v>
      </c>
      <c r="N88" s="37" t="n">
        <f aca="false">IF(L88="Y",E88,0)</f>
        <v>0</v>
      </c>
    </row>
    <row r="89" customFormat="false" ht="15" hidden="false" customHeight="false" outlineLevel="0" collapsed="false">
      <c r="A89" s="40" t="s">
        <v>381</v>
      </c>
      <c r="B89" s="20"/>
      <c r="C89" s="20"/>
      <c r="D89" s="20"/>
      <c r="E89" s="20" t="n">
        <v>7.5</v>
      </c>
      <c r="F89" s="20" t="n">
        <v>80</v>
      </c>
      <c r="G89" s="20"/>
      <c r="H89" s="20"/>
      <c r="I89" s="20"/>
      <c r="J89" s="22" t="str">
        <f aca="false">IF(B89="","",IF(ISNUMBER(A89),A89,DATE(2000+VALUE(RIGHT(A89,2)),VALUE(MID(A89,4,2)),VALUE(LEFT(A89,2)))))</f>
        <v/>
      </c>
      <c r="K89" s="37" t="str">
        <f aca="false">IF(B89="","",D89)</f>
        <v/>
      </c>
      <c r="L89" s="20" t="str">
        <f aca="false">IF(AND(OR(B89="Mistri",B89="Jogali"),G89&lt;&gt;""),"Y","N")</f>
        <v>N</v>
      </c>
      <c r="M89" s="37" t="n">
        <f aca="false">IF(L89="Y",C89*K89,0)</f>
        <v>0</v>
      </c>
      <c r="N89" s="37" t="n">
        <f aca="false">IF(L89="Y",E89,0)</f>
        <v>0</v>
      </c>
    </row>
    <row r="91" customFormat="false" ht="15" hidden="false" customHeight="false" outlineLevel="0" collapsed="false">
      <c r="A91" s="22" t="n">
        <v>46255</v>
      </c>
      <c r="B91" s="20" t="s">
        <v>362</v>
      </c>
      <c r="C91" s="20" t="n">
        <v>2</v>
      </c>
      <c r="D91" s="20" t="n">
        <v>8</v>
      </c>
      <c r="E91" s="20"/>
      <c r="F91" s="20" t="n">
        <v>16</v>
      </c>
      <c r="G91" s="20"/>
      <c r="H91" s="20" t="s">
        <v>370</v>
      </c>
      <c r="I91" s="20"/>
      <c r="J91" s="22" t="n">
        <f aca="false">IF(B91="","",IF(ISNUMBER(A91),A91,DATE(2000+VALUE(RIGHT(A91,2)),VALUE(MID(A91,4,2)),VALUE(LEFT(A91,2)))))</f>
        <v>46255</v>
      </c>
      <c r="K91" s="37" t="n">
        <f aca="false">IF(B91="","",D91)</f>
        <v>8</v>
      </c>
      <c r="L91" s="20" t="str">
        <f aca="false">IF(AND(OR(B91="Mistri",B91="Jogali"),G91&lt;&gt;""),"Y","N")</f>
        <v>N</v>
      </c>
      <c r="M91" s="37" t="n">
        <f aca="false">IF(L91="Y",C91*K91,0)</f>
        <v>0</v>
      </c>
      <c r="N91" s="37" t="n">
        <f aca="false">IF(L91="Y",E91,0)</f>
        <v>0</v>
      </c>
    </row>
    <row r="92" customFormat="false" ht="15" hidden="false" customHeight="false" outlineLevel="0" collapsed="false">
      <c r="A92" s="40" t="s">
        <v>382</v>
      </c>
      <c r="B92" s="20"/>
      <c r="C92" s="20"/>
      <c r="D92" s="20"/>
      <c r="E92" s="20" t="n">
        <v>0</v>
      </c>
      <c r="F92" s="20" t="n">
        <v>16</v>
      </c>
      <c r="G92" s="20"/>
      <c r="H92" s="20"/>
      <c r="I92" s="20"/>
      <c r="J92" s="22" t="str">
        <f aca="false">IF(B92="","",IF(ISNUMBER(A92),A92,DATE(2000+VALUE(RIGHT(A92,2)),VALUE(MID(A92,4,2)),VALUE(LEFT(A92,2)))))</f>
        <v/>
      </c>
      <c r="K92" s="37" t="str">
        <f aca="false">IF(B92="","",D92)</f>
        <v/>
      </c>
      <c r="L92" s="20" t="str">
        <f aca="false">IF(AND(OR(B92="Mistri",B92="Jogali"),G92&lt;&gt;""),"Y","N")</f>
        <v>N</v>
      </c>
      <c r="M92" s="37" t="n">
        <f aca="false">IF(L92="Y",C92*K92,0)</f>
        <v>0</v>
      </c>
      <c r="N92" s="37" t="n">
        <f aca="false">IF(L92="Y",E92,0)</f>
        <v>0</v>
      </c>
    </row>
    <row r="94" customFormat="false" ht="15" hidden="false" customHeight="false" outlineLevel="0" collapsed="false">
      <c r="A94" s="3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D6A7"/>
    <pageSetUpPr fitToPage="true"/>
  </sheetPr>
  <dimension ref="A1: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6" t="s">
        <v>384</v>
      </c>
    </row>
    <row r="2" customFormat="false" ht="15" hidden="false" customHeight="false" outlineLevel="0" collapsed="false">
      <c r="A2" s="2" t="s">
        <v>385</v>
      </c>
    </row>
    <row r="3" customFormat="false" ht="30" hidden="false" customHeight="true" outlineLevel="0" collapsed="false">
      <c r="A3" s="46" t="s">
        <v>116</v>
      </c>
      <c r="B3" s="46" t="s">
        <v>386</v>
      </c>
      <c r="C3" s="46" t="s">
        <v>387</v>
      </c>
      <c r="D3" s="46" t="s">
        <v>388</v>
      </c>
      <c r="E3" s="46" t="s">
        <v>389</v>
      </c>
      <c r="F3" s="46" t="s">
        <v>390</v>
      </c>
      <c r="G3" s="46" t="s">
        <v>391</v>
      </c>
      <c r="H3" s="46" t="s">
        <v>392</v>
      </c>
      <c r="I3" s="46" t="s">
        <v>356</v>
      </c>
      <c r="J3" s="47" t="s">
        <v>37</v>
      </c>
      <c r="K3" s="47" t="s">
        <v>393</v>
      </c>
      <c r="L3" s="47" t="s">
        <v>394</v>
      </c>
      <c r="M3" s="47" t="s">
        <v>395</v>
      </c>
      <c r="N3" s="47" t="s">
        <v>396</v>
      </c>
    </row>
    <row r="4" customFormat="false" ht="15" hidden="false" customHeight="false" outlineLevel="0" collapsed="false">
      <c r="A4" s="22" t="n">
        <v>45870</v>
      </c>
      <c r="B4" s="20" t="s">
        <v>397</v>
      </c>
      <c r="C4" s="20" t="s">
        <v>398</v>
      </c>
      <c r="D4" s="21" t="n">
        <v>760</v>
      </c>
      <c r="E4" s="20" t="s">
        <v>399</v>
      </c>
      <c r="F4" s="20" t="s">
        <v>400</v>
      </c>
      <c r="G4" s="20" t="s">
        <v>400</v>
      </c>
      <c r="H4" s="20" t="s">
        <v>401</v>
      </c>
      <c r="I4" s="20" t="s">
        <v>402</v>
      </c>
      <c r="J4" s="23" t="s">
        <v>59</v>
      </c>
      <c r="K4" s="23" t="s">
        <v>403</v>
      </c>
      <c r="L4" s="49" t="n">
        <v>1</v>
      </c>
      <c r="M4" s="50" t="n">
        <f aca="false">D4*L4</f>
        <v>760</v>
      </c>
      <c r="N4" s="33"/>
    </row>
    <row r="5" customFormat="false" ht="15" hidden="false" customHeight="false" outlineLevel="0" collapsed="false">
      <c r="A5" s="22" t="n">
        <v>45870</v>
      </c>
      <c r="B5" s="20" t="s">
        <v>404</v>
      </c>
      <c r="C5" s="20" t="s">
        <v>398</v>
      </c>
      <c r="D5" s="21" t="n">
        <v>460</v>
      </c>
      <c r="E5" s="20" t="s">
        <v>399</v>
      </c>
      <c r="F5" s="20" t="s">
        <v>400</v>
      </c>
      <c r="G5" s="20" t="s">
        <v>400</v>
      </c>
      <c r="H5" s="20" t="s">
        <v>401</v>
      </c>
      <c r="I5" s="20" t="s">
        <v>405</v>
      </c>
      <c r="J5" s="23" t="s">
        <v>61</v>
      </c>
      <c r="K5" s="23" t="s">
        <v>403</v>
      </c>
      <c r="L5" s="49" t="n">
        <v>1</v>
      </c>
      <c r="M5" s="50" t="n">
        <f aca="false">D5*L5</f>
        <v>460</v>
      </c>
      <c r="N5" s="33"/>
    </row>
    <row r="6" customFormat="false" ht="15" hidden="false" customHeight="false" outlineLevel="0" collapsed="false">
      <c r="A6" s="22" t="n">
        <v>45887</v>
      </c>
      <c r="B6" s="20" t="s">
        <v>406</v>
      </c>
      <c r="C6" s="20" t="s">
        <v>407</v>
      </c>
      <c r="D6" s="21" t="n">
        <v>640</v>
      </c>
      <c r="E6" s="20" t="s">
        <v>408</v>
      </c>
      <c r="F6" s="20" t="s">
        <v>409</v>
      </c>
      <c r="G6" s="20" t="s">
        <v>410</v>
      </c>
      <c r="H6" s="20" t="s">
        <v>411</v>
      </c>
      <c r="I6" s="20" t="s">
        <v>412</v>
      </c>
      <c r="J6" s="23" t="s">
        <v>42</v>
      </c>
      <c r="K6" s="23" t="s">
        <v>413</v>
      </c>
      <c r="L6" s="49" t="n">
        <v>1</v>
      </c>
      <c r="M6" s="50" t="n">
        <f aca="false">D6*L6</f>
        <v>640</v>
      </c>
      <c r="N6" s="33" t="s">
        <v>414</v>
      </c>
    </row>
    <row r="7" customFormat="false" ht="15" hidden="false" customHeight="false" outlineLevel="0" collapsed="false">
      <c r="A7" s="22" t="n">
        <v>45890</v>
      </c>
      <c r="B7" s="20" t="s">
        <v>415</v>
      </c>
      <c r="C7" s="20" t="s">
        <v>416</v>
      </c>
      <c r="D7" s="21" t="n">
        <v>700</v>
      </c>
      <c r="E7" s="20" t="s">
        <v>408</v>
      </c>
      <c r="F7" s="20" t="s">
        <v>409</v>
      </c>
      <c r="G7" s="20" t="s">
        <v>410</v>
      </c>
      <c r="H7" s="20" t="s">
        <v>417</v>
      </c>
      <c r="I7" s="20" t="s">
        <v>418</v>
      </c>
      <c r="J7" s="23" t="s">
        <v>42</v>
      </c>
      <c r="K7" s="23" t="s">
        <v>403</v>
      </c>
      <c r="L7" s="49" t="n">
        <v>1</v>
      </c>
      <c r="M7" s="50" t="n">
        <f aca="false">D7*L7</f>
        <v>700</v>
      </c>
      <c r="N7" s="33"/>
    </row>
    <row r="8" customFormat="false" ht="15" hidden="false" customHeight="false" outlineLevel="0" collapsed="false">
      <c r="A8" s="22" t="n">
        <v>45894</v>
      </c>
      <c r="B8" s="20" t="s">
        <v>419</v>
      </c>
      <c r="C8" s="20" t="s">
        <v>420</v>
      </c>
      <c r="D8" s="21" t="n">
        <v>640</v>
      </c>
      <c r="E8" s="20" t="s">
        <v>421</v>
      </c>
      <c r="F8" s="20" t="s">
        <v>409</v>
      </c>
      <c r="G8" s="20" t="s">
        <v>410</v>
      </c>
      <c r="H8" s="20" t="s">
        <v>422</v>
      </c>
      <c r="I8" s="20" t="s">
        <v>423</v>
      </c>
      <c r="J8" s="23" t="s">
        <v>53</v>
      </c>
      <c r="K8" s="23" t="s">
        <v>403</v>
      </c>
      <c r="L8" s="49" t="n">
        <v>1</v>
      </c>
      <c r="M8" s="50" t="n">
        <f aca="false">D8*L8</f>
        <v>640</v>
      </c>
      <c r="N8" s="33"/>
    </row>
    <row r="9" customFormat="false" ht="15" hidden="false" customHeight="false" outlineLevel="0" collapsed="false">
      <c r="A9" s="22" t="n">
        <v>45894</v>
      </c>
      <c r="B9" s="20" t="s">
        <v>424</v>
      </c>
      <c r="C9" s="20" t="s">
        <v>420</v>
      </c>
      <c r="D9" s="21" t="n">
        <v>158</v>
      </c>
      <c r="E9" s="20" t="s">
        <v>425</v>
      </c>
      <c r="F9" s="20" t="s">
        <v>409</v>
      </c>
      <c r="G9" s="20" t="s">
        <v>410</v>
      </c>
      <c r="H9" s="20" t="s">
        <v>422</v>
      </c>
      <c r="I9" s="20" t="s">
        <v>426</v>
      </c>
      <c r="J9" s="23" t="s">
        <v>51</v>
      </c>
      <c r="K9" s="23" t="s">
        <v>403</v>
      </c>
      <c r="L9" s="49" t="n">
        <v>1</v>
      </c>
      <c r="M9" s="50" t="n">
        <f aca="false">D9*L9</f>
        <v>158</v>
      </c>
      <c r="N9" s="33"/>
    </row>
    <row r="10" customFormat="false" ht="15" hidden="false" customHeight="false" outlineLevel="0" collapsed="false">
      <c r="A10" s="22" t="n">
        <v>45894</v>
      </c>
      <c r="B10" s="20" t="s">
        <v>427</v>
      </c>
      <c r="C10" s="20" t="s">
        <v>420</v>
      </c>
      <c r="D10" s="21" t="n">
        <v>78</v>
      </c>
      <c r="E10" s="20" t="s">
        <v>421</v>
      </c>
      <c r="F10" s="20" t="s">
        <v>409</v>
      </c>
      <c r="G10" s="20" t="s">
        <v>410</v>
      </c>
      <c r="H10" s="20" t="s">
        <v>422</v>
      </c>
      <c r="I10" s="20" t="s">
        <v>428</v>
      </c>
      <c r="J10" s="23" t="s">
        <v>50</v>
      </c>
      <c r="K10" s="23" t="s">
        <v>403</v>
      </c>
      <c r="L10" s="49" t="n">
        <v>1</v>
      </c>
      <c r="M10" s="50" t="n">
        <f aca="false">D10*L10</f>
        <v>78</v>
      </c>
      <c r="N10" s="33"/>
    </row>
    <row r="11" customFormat="false" ht="15" hidden="false" customHeight="false" outlineLevel="0" collapsed="false">
      <c r="A11" s="22" t="n">
        <v>45902</v>
      </c>
      <c r="B11" s="20" t="s">
        <v>429</v>
      </c>
      <c r="C11" s="20" t="s">
        <v>430</v>
      </c>
      <c r="D11" s="21" t="n">
        <v>60</v>
      </c>
      <c r="E11" s="20" t="s">
        <v>425</v>
      </c>
      <c r="F11" s="20" t="s">
        <v>409</v>
      </c>
      <c r="G11" s="20" t="s">
        <v>410</v>
      </c>
      <c r="H11" s="20" t="s">
        <v>431</v>
      </c>
      <c r="I11" s="20" t="s">
        <v>432</v>
      </c>
      <c r="J11" s="23" t="s">
        <v>44</v>
      </c>
      <c r="K11" s="23" t="s">
        <v>403</v>
      </c>
      <c r="L11" s="49" t="n">
        <v>1.5</v>
      </c>
      <c r="M11" s="50" t="n">
        <f aca="false">D11*L11</f>
        <v>90</v>
      </c>
      <c r="N11" s="33" t="s">
        <v>433</v>
      </c>
    </row>
    <row r="12" customFormat="false" ht="15" hidden="false" customHeight="false" outlineLevel="0" collapsed="false">
      <c r="A12" s="22" t="n">
        <v>45908</v>
      </c>
      <c r="B12" s="20" t="s">
        <v>434</v>
      </c>
      <c r="C12" s="20" t="s">
        <v>420</v>
      </c>
      <c r="D12" s="21" t="n">
        <v>880</v>
      </c>
      <c r="E12" s="20" t="s">
        <v>435</v>
      </c>
      <c r="F12" s="20" t="s">
        <v>409</v>
      </c>
      <c r="G12" s="20" t="s">
        <v>410</v>
      </c>
      <c r="H12" s="20" t="s">
        <v>422</v>
      </c>
      <c r="I12" s="20" t="s">
        <v>436</v>
      </c>
      <c r="J12" s="23" t="s">
        <v>48</v>
      </c>
      <c r="K12" s="23" t="s">
        <v>403</v>
      </c>
      <c r="L12" s="49" t="n">
        <v>1</v>
      </c>
      <c r="M12" s="50" t="n">
        <f aca="false">D12*L12</f>
        <v>880</v>
      </c>
      <c r="N12" s="33"/>
    </row>
    <row r="13" customFormat="false" ht="15" hidden="false" customHeight="false" outlineLevel="0" collapsed="false">
      <c r="A13" s="22" t="n">
        <v>45910</v>
      </c>
      <c r="B13" s="20" t="s">
        <v>437</v>
      </c>
      <c r="C13" s="20" t="s">
        <v>438</v>
      </c>
      <c r="D13" s="21" t="n">
        <v>3000</v>
      </c>
      <c r="E13" s="20" t="s">
        <v>439</v>
      </c>
      <c r="F13" s="20" t="s">
        <v>409</v>
      </c>
      <c r="G13" s="20" t="s">
        <v>410</v>
      </c>
      <c r="H13" s="20" t="s">
        <v>422</v>
      </c>
      <c r="I13" s="20" t="s">
        <v>440</v>
      </c>
      <c r="J13" s="23" t="s">
        <v>57</v>
      </c>
      <c r="K13" s="23" t="s">
        <v>403</v>
      </c>
      <c r="L13" s="49" t="n">
        <v>1</v>
      </c>
      <c r="M13" s="50" t="n">
        <f aca="false">D13*L13</f>
        <v>3000</v>
      </c>
      <c r="N13" s="33"/>
    </row>
    <row r="14" customFormat="false" ht="15" hidden="false" customHeight="false" outlineLevel="0" collapsed="false">
      <c r="A14" s="22" t="n">
        <v>45915</v>
      </c>
      <c r="B14" s="20" t="s">
        <v>441</v>
      </c>
      <c r="C14" s="20" t="s">
        <v>407</v>
      </c>
      <c r="D14" s="21" t="n">
        <v>50</v>
      </c>
      <c r="E14" s="20" t="s">
        <v>442</v>
      </c>
      <c r="F14" s="20" t="s">
        <v>409</v>
      </c>
      <c r="G14" s="20" t="s">
        <v>410</v>
      </c>
      <c r="H14" s="20" t="s">
        <v>431</v>
      </c>
      <c r="I14" s="20" t="s">
        <v>443</v>
      </c>
      <c r="J14" s="23" t="s">
        <v>54</v>
      </c>
      <c r="K14" s="23" t="s">
        <v>403</v>
      </c>
      <c r="L14" s="49" t="n">
        <v>3.2</v>
      </c>
      <c r="M14" s="50" t="n">
        <f aca="false">D14*L14</f>
        <v>160</v>
      </c>
      <c r="N14" s="33" t="s">
        <v>444</v>
      </c>
    </row>
    <row r="15" customFormat="false" ht="15" hidden="false" customHeight="false" outlineLevel="0" collapsed="false">
      <c r="A15" s="22" t="n">
        <v>45915</v>
      </c>
      <c r="B15" s="20" t="s">
        <v>445</v>
      </c>
      <c r="C15" s="20" t="s">
        <v>446</v>
      </c>
      <c r="D15" s="21" t="n">
        <v>5</v>
      </c>
      <c r="E15" s="20" t="s">
        <v>442</v>
      </c>
      <c r="F15" s="20" t="s">
        <v>409</v>
      </c>
      <c r="G15" s="20" t="s">
        <v>410</v>
      </c>
      <c r="H15" s="20" t="s">
        <v>411</v>
      </c>
      <c r="I15" s="20" t="s">
        <v>447</v>
      </c>
      <c r="J15" s="23" t="s">
        <v>55</v>
      </c>
      <c r="K15" s="23" t="s">
        <v>403</v>
      </c>
      <c r="L15" s="49" t="n">
        <v>1</v>
      </c>
      <c r="M15" s="50" t="n">
        <f aca="false">D15*L15</f>
        <v>5</v>
      </c>
      <c r="N15" s="33"/>
    </row>
    <row r="16" customFormat="false" ht="15" hidden="false" customHeight="false" outlineLevel="0" collapsed="false">
      <c r="A16" s="22" t="n">
        <v>45936</v>
      </c>
      <c r="B16" s="20" t="s">
        <v>448</v>
      </c>
      <c r="C16" s="20" t="s">
        <v>420</v>
      </c>
      <c r="D16" s="21" t="n">
        <v>2100</v>
      </c>
      <c r="E16" s="20" t="s">
        <v>421</v>
      </c>
      <c r="F16" s="20" t="s">
        <v>409</v>
      </c>
      <c r="G16" s="20" t="s">
        <v>410</v>
      </c>
      <c r="H16" s="20" t="s">
        <v>422</v>
      </c>
      <c r="I16" s="20" t="s">
        <v>449</v>
      </c>
      <c r="J16" s="23" t="s">
        <v>46</v>
      </c>
      <c r="K16" s="23" t="s">
        <v>403</v>
      </c>
      <c r="L16" s="49" t="n">
        <v>1</v>
      </c>
      <c r="M16" s="50" t="n">
        <f aca="false">D16*L16</f>
        <v>2100</v>
      </c>
      <c r="N16" s="33"/>
    </row>
    <row r="17" customFormat="false" ht="15" hidden="false" customHeight="false" outlineLevel="0" collapsed="false">
      <c r="A17" s="22" t="n">
        <v>45964</v>
      </c>
      <c r="B17" s="20" t="s">
        <v>450</v>
      </c>
      <c r="C17" s="20" t="s">
        <v>420</v>
      </c>
      <c r="D17" s="21" t="n">
        <v>900</v>
      </c>
      <c r="E17" s="20" t="s">
        <v>435</v>
      </c>
      <c r="F17" s="20" t="s">
        <v>409</v>
      </c>
      <c r="G17" s="20" t="s">
        <v>410</v>
      </c>
      <c r="H17" s="20" t="s">
        <v>422</v>
      </c>
      <c r="I17" s="20" t="s">
        <v>451</v>
      </c>
      <c r="J17" s="23" t="s">
        <v>48</v>
      </c>
      <c r="K17" s="23" t="s">
        <v>403</v>
      </c>
      <c r="L17" s="49" t="n">
        <v>1</v>
      </c>
      <c r="M17" s="50" t="n">
        <f aca="false">D17*L17</f>
        <v>900</v>
      </c>
      <c r="N17" s="33"/>
    </row>
    <row r="18" customFormat="false" ht="15" hidden="false" customHeight="false" outlineLevel="0" collapsed="false">
      <c r="A18" s="22" t="n">
        <v>46034</v>
      </c>
      <c r="B18" s="20" t="s">
        <v>452</v>
      </c>
      <c r="C18" s="20" t="s">
        <v>416</v>
      </c>
      <c r="D18" s="21" t="n">
        <v>720</v>
      </c>
      <c r="E18" s="20" t="s">
        <v>408</v>
      </c>
      <c r="F18" s="20" t="s">
        <v>409</v>
      </c>
      <c r="G18" s="20" t="s">
        <v>410</v>
      </c>
      <c r="H18" s="20" t="s">
        <v>422</v>
      </c>
      <c r="I18" s="20"/>
      <c r="J18" s="23" t="s">
        <v>42</v>
      </c>
      <c r="K18" s="23" t="s">
        <v>403</v>
      </c>
      <c r="L18" s="49" t="n">
        <v>1</v>
      </c>
      <c r="M18" s="50" t="n">
        <f aca="false">D18*L18</f>
        <v>720</v>
      </c>
      <c r="N18" s="33"/>
    </row>
    <row r="19" customFormat="false" ht="15" hidden="false" customHeight="false" outlineLevel="0" collapsed="false">
      <c r="A19" s="22" t="n">
        <v>46042</v>
      </c>
      <c r="B19" s="20" t="s">
        <v>453</v>
      </c>
      <c r="C19" s="20" t="s">
        <v>454</v>
      </c>
      <c r="D19" s="21" t="n">
        <v>1650</v>
      </c>
      <c r="E19" s="20" t="s">
        <v>435</v>
      </c>
      <c r="F19" s="20" t="s">
        <v>409</v>
      </c>
      <c r="G19" s="20" t="s">
        <v>410</v>
      </c>
      <c r="H19" s="20" t="s">
        <v>455</v>
      </c>
      <c r="I19" s="20" t="s">
        <v>456</v>
      </c>
      <c r="J19" s="23" t="s">
        <v>48</v>
      </c>
      <c r="K19" s="23" t="s">
        <v>413</v>
      </c>
      <c r="L19" s="49" t="n">
        <v>1</v>
      </c>
      <c r="M19" s="50" t="n">
        <f aca="false">D19*L19</f>
        <v>1650</v>
      </c>
      <c r="N19" s="33" t="s">
        <v>457</v>
      </c>
    </row>
    <row r="20" customFormat="false" ht="15" hidden="false" customHeight="false" outlineLevel="0" collapsed="false">
      <c r="A20" s="22" t="n">
        <v>46042</v>
      </c>
      <c r="B20" s="20" t="s">
        <v>458</v>
      </c>
      <c r="C20" s="20" t="s">
        <v>420</v>
      </c>
      <c r="D20" s="21" t="n">
        <v>1660</v>
      </c>
      <c r="E20" s="20" t="s">
        <v>425</v>
      </c>
      <c r="F20" s="20" t="s">
        <v>409</v>
      </c>
      <c r="G20" s="20" t="s">
        <v>410</v>
      </c>
      <c r="H20" s="20" t="s">
        <v>417</v>
      </c>
      <c r="I20" s="20"/>
      <c r="J20" s="23" t="s">
        <v>51</v>
      </c>
      <c r="K20" s="23" t="s">
        <v>403</v>
      </c>
      <c r="L20" s="49" t="n">
        <v>0.1</v>
      </c>
      <c r="M20" s="50" t="n">
        <f aca="false">D20*L20</f>
        <v>166</v>
      </c>
      <c r="N20" s="33" t="s">
        <v>459</v>
      </c>
    </row>
    <row r="21" customFormat="false" ht="15" hidden="false" customHeight="false" outlineLevel="0" collapsed="false">
      <c r="A21" s="22" t="n">
        <v>46050</v>
      </c>
      <c r="B21" s="20" t="s">
        <v>437</v>
      </c>
      <c r="C21" s="20" t="s">
        <v>438</v>
      </c>
      <c r="D21" s="21" t="n">
        <v>3200</v>
      </c>
      <c r="E21" s="20" t="s">
        <v>439</v>
      </c>
      <c r="F21" s="20" t="s">
        <v>409</v>
      </c>
      <c r="G21" s="20" t="s">
        <v>410</v>
      </c>
      <c r="H21" s="20" t="s">
        <v>422</v>
      </c>
      <c r="I21" s="20" t="s">
        <v>440</v>
      </c>
      <c r="J21" s="23" t="s">
        <v>57</v>
      </c>
      <c r="K21" s="23" t="s">
        <v>403</v>
      </c>
      <c r="L21" s="49" t="n">
        <v>1</v>
      </c>
      <c r="M21" s="50" t="n">
        <f aca="false">D21*L21</f>
        <v>3200</v>
      </c>
      <c r="N21" s="33"/>
    </row>
    <row r="22" customFormat="false" ht="15" hidden="false" customHeight="false" outlineLevel="0" collapsed="false">
      <c r="A22" s="22" t="n">
        <v>46092</v>
      </c>
      <c r="B22" s="20" t="s">
        <v>460</v>
      </c>
      <c r="C22" s="20" t="s">
        <v>420</v>
      </c>
      <c r="D22" s="21" t="n">
        <v>680</v>
      </c>
      <c r="E22" s="20" t="s">
        <v>421</v>
      </c>
      <c r="F22" s="20" t="s">
        <v>409</v>
      </c>
      <c r="G22" s="20" t="s">
        <v>410</v>
      </c>
      <c r="H22" s="20" t="s">
        <v>422</v>
      </c>
      <c r="I22" s="20"/>
      <c r="J22" s="23" t="s">
        <v>53</v>
      </c>
      <c r="K22" s="23" t="s">
        <v>403</v>
      </c>
      <c r="L22" s="49" t="n">
        <v>1</v>
      </c>
      <c r="M22" s="50" t="n">
        <f aca="false">D22*L22</f>
        <v>680</v>
      </c>
      <c r="N22" s="33"/>
    </row>
    <row r="23" customFormat="false" ht="15" hidden="false" customHeight="false" outlineLevel="0" collapsed="false">
      <c r="A23" s="22" t="n">
        <v>46105</v>
      </c>
      <c r="B23" s="20" t="s">
        <v>461</v>
      </c>
      <c r="C23" s="20" t="s">
        <v>407</v>
      </c>
      <c r="D23" s="21" t="n">
        <v>26200</v>
      </c>
      <c r="E23" s="20" t="s">
        <v>462</v>
      </c>
      <c r="F23" s="20" t="s">
        <v>409</v>
      </c>
      <c r="G23" s="20" t="s">
        <v>410</v>
      </c>
      <c r="H23" s="20" t="s">
        <v>455</v>
      </c>
      <c r="I23" s="20" t="s">
        <v>463</v>
      </c>
      <c r="J23" s="23" t="s">
        <v>42</v>
      </c>
      <c r="K23" s="23" t="s">
        <v>403</v>
      </c>
      <c r="L23" s="49" t="n">
        <f aca="false">1/35.31</f>
        <v>0.0283205890682526</v>
      </c>
      <c r="M23" s="50" t="n">
        <f aca="false">D23*L23</f>
        <v>741.999433588219</v>
      </c>
      <c r="N23" s="33" t="s">
        <v>464</v>
      </c>
    </row>
    <row r="24" customFormat="false" ht="15" hidden="false" customHeight="false" outlineLevel="0" collapsed="false">
      <c r="A24" s="22" t="n">
        <v>46113</v>
      </c>
      <c r="B24" s="20" t="s">
        <v>397</v>
      </c>
      <c r="C24" s="20" t="s">
        <v>398</v>
      </c>
      <c r="D24" s="21" t="n">
        <v>800</v>
      </c>
      <c r="E24" s="20" t="s">
        <v>399</v>
      </c>
      <c r="F24" s="20" t="s">
        <v>400</v>
      </c>
      <c r="G24" s="20" t="s">
        <v>400</v>
      </c>
      <c r="H24" s="20" t="s">
        <v>401</v>
      </c>
      <c r="I24" s="20" t="s">
        <v>465</v>
      </c>
      <c r="J24" s="23" t="s">
        <v>59</v>
      </c>
      <c r="K24" s="23" t="s">
        <v>403</v>
      </c>
      <c r="L24" s="49" t="n">
        <v>1</v>
      </c>
      <c r="M24" s="50" t="n">
        <f aca="false">D24*L24</f>
        <v>800</v>
      </c>
      <c r="N24" s="33"/>
    </row>
    <row r="25" customFormat="false" ht="15" hidden="false" customHeight="false" outlineLevel="0" collapsed="false">
      <c r="A25" s="22" t="n">
        <v>46126</v>
      </c>
      <c r="B25" s="20" t="s">
        <v>466</v>
      </c>
      <c r="C25" s="20" t="s">
        <v>467</v>
      </c>
      <c r="D25" s="21" t="n">
        <v>7500</v>
      </c>
      <c r="E25" s="20" t="s">
        <v>468</v>
      </c>
      <c r="F25" s="20" t="s">
        <v>409</v>
      </c>
      <c r="G25" s="20" t="s">
        <v>410</v>
      </c>
      <c r="H25" s="20" t="s">
        <v>411</v>
      </c>
      <c r="I25" s="20" t="s">
        <v>469</v>
      </c>
      <c r="J25" s="23" t="s">
        <v>470</v>
      </c>
      <c r="K25" s="23" t="s">
        <v>403</v>
      </c>
      <c r="L25" s="49" t="n">
        <v>1</v>
      </c>
      <c r="M25" s="50" t="n">
        <f aca="false">D25*L25</f>
        <v>7500</v>
      </c>
      <c r="N25" s="33"/>
    </row>
    <row r="26" customFormat="false" ht="15" hidden="false" customHeight="false" outlineLevel="0" collapsed="false">
      <c r="A26" s="22" t="n">
        <v>46183</v>
      </c>
      <c r="B26" s="20" t="s">
        <v>471</v>
      </c>
      <c r="C26" s="20" t="s">
        <v>430</v>
      </c>
      <c r="D26" s="21" t="n">
        <v>66</v>
      </c>
      <c r="E26" s="20" t="s">
        <v>425</v>
      </c>
      <c r="F26" s="20" t="s">
        <v>409</v>
      </c>
      <c r="G26" s="20" t="s">
        <v>410</v>
      </c>
      <c r="H26" s="20" t="s">
        <v>431</v>
      </c>
      <c r="I26" s="20" t="s">
        <v>472</v>
      </c>
      <c r="J26" s="23" t="s">
        <v>44</v>
      </c>
      <c r="K26" s="23" t="s">
        <v>403</v>
      </c>
      <c r="L26" s="49" t="n">
        <v>1.5</v>
      </c>
      <c r="M26" s="50" t="n">
        <f aca="false">D26*L26</f>
        <v>99</v>
      </c>
      <c r="N26" s="33" t="s">
        <v>433</v>
      </c>
    </row>
    <row r="27" customFormat="false" ht="15" hidden="false" customHeight="false" outlineLevel="0" collapsed="false">
      <c r="A27" s="22" t="n">
        <v>46188</v>
      </c>
      <c r="B27" s="20" t="s">
        <v>452</v>
      </c>
      <c r="C27" s="20" t="s">
        <v>416</v>
      </c>
      <c r="D27" s="21" t="n">
        <v>765</v>
      </c>
      <c r="E27" s="20" t="s">
        <v>408</v>
      </c>
      <c r="F27" s="20" t="s">
        <v>409</v>
      </c>
      <c r="G27" s="20" t="s">
        <v>410</v>
      </c>
      <c r="H27" s="20" t="s">
        <v>422</v>
      </c>
      <c r="I27" s="20"/>
      <c r="J27" s="23" t="s">
        <v>42</v>
      </c>
      <c r="K27" s="23" t="s">
        <v>403</v>
      </c>
      <c r="L27" s="49" t="n">
        <v>1</v>
      </c>
      <c r="M27" s="50" t="n">
        <f aca="false">D27*L27</f>
        <v>765</v>
      </c>
      <c r="N27" s="33"/>
    </row>
    <row r="28" customFormat="false" ht="15" hidden="false" customHeight="false" outlineLevel="0" collapsed="false">
      <c r="A28" s="22" t="n">
        <v>46204</v>
      </c>
      <c r="B28" s="20" t="s">
        <v>404</v>
      </c>
      <c r="C28" s="20" t="s">
        <v>398</v>
      </c>
      <c r="D28" s="21" t="n">
        <v>480</v>
      </c>
      <c r="E28" s="20" t="s">
        <v>399</v>
      </c>
      <c r="F28" s="20" t="s">
        <v>400</v>
      </c>
      <c r="G28" s="20" t="s">
        <v>400</v>
      </c>
      <c r="H28" s="20" t="s">
        <v>401</v>
      </c>
      <c r="I28" s="20" t="s">
        <v>473</v>
      </c>
      <c r="J28" s="23" t="s">
        <v>61</v>
      </c>
      <c r="K28" s="23" t="s">
        <v>403</v>
      </c>
      <c r="L28" s="49" t="n">
        <v>1</v>
      </c>
      <c r="M28" s="50" t="n">
        <f aca="false">D28*L28</f>
        <v>480</v>
      </c>
      <c r="N28" s="33"/>
    </row>
    <row r="29" customFormat="false" ht="15" hidden="false" customHeight="false" outlineLevel="0" collapsed="false">
      <c r="A29" s="22" t="n">
        <v>46211</v>
      </c>
      <c r="B29" s="20" t="s">
        <v>474</v>
      </c>
      <c r="C29" s="20" t="s">
        <v>420</v>
      </c>
      <c r="D29" s="21" t="n">
        <v>950</v>
      </c>
      <c r="E29" s="20" t="s">
        <v>435</v>
      </c>
      <c r="F29" s="20" t="s">
        <v>409</v>
      </c>
      <c r="G29" s="20" t="s">
        <v>410</v>
      </c>
      <c r="H29" s="20" t="s">
        <v>422</v>
      </c>
      <c r="I29" s="20"/>
      <c r="J29" s="23" t="s">
        <v>48</v>
      </c>
      <c r="K29" s="23" t="s">
        <v>403</v>
      </c>
      <c r="L29" s="49" t="n">
        <v>1</v>
      </c>
      <c r="M29" s="50" t="n">
        <f aca="false">D29*L29</f>
        <v>950</v>
      </c>
      <c r="N29" s="33"/>
    </row>
    <row r="30" customFormat="false" ht="15" hidden="false" customHeight="false" outlineLevel="0" collapsed="false">
      <c r="A30" s="22" t="n">
        <v>46211</v>
      </c>
      <c r="B30" s="20" t="s">
        <v>475</v>
      </c>
      <c r="C30" s="20" t="s">
        <v>420</v>
      </c>
      <c r="D30" s="21" t="n">
        <v>198</v>
      </c>
      <c r="E30" s="20" t="s">
        <v>425</v>
      </c>
      <c r="F30" s="20" t="s">
        <v>409</v>
      </c>
      <c r="G30" s="20" t="s">
        <v>476</v>
      </c>
      <c r="H30" s="20" t="s">
        <v>422</v>
      </c>
      <c r="I30" s="20" t="s">
        <v>477</v>
      </c>
      <c r="J30" s="23" t="s">
        <v>51</v>
      </c>
      <c r="K30" s="23" t="s">
        <v>403</v>
      </c>
      <c r="L30" s="49" t="n">
        <f aca="false">1/1.18</f>
        <v>0.847457627118644</v>
      </c>
      <c r="M30" s="50" t="n">
        <f aca="false">D30*L30</f>
        <v>167.796610169492</v>
      </c>
      <c r="N30" s="33" t="s">
        <v>478</v>
      </c>
    </row>
    <row r="31" customFormat="false" ht="15" hidden="false" customHeight="false" outlineLevel="0" collapsed="false">
      <c r="A31" s="22" t="n">
        <v>46211</v>
      </c>
      <c r="B31" s="20" t="s">
        <v>479</v>
      </c>
      <c r="C31" s="20" t="s">
        <v>420</v>
      </c>
      <c r="D31" s="21" t="n">
        <v>2250</v>
      </c>
      <c r="E31" s="20" t="s">
        <v>421</v>
      </c>
      <c r="F31" s="20" t="s">
        <v>409</v>
      </c>
      <c r="G31" s="20" t="s">
        <v>410</v>
      </c>
      <c r="H31" s="20" t="s">
        <v>422</v>
      </c>
      <c r="I31" s="20"/>
      <c r="J31" s="23" t="s">
        <v>46</v>
      </c>
      <c r="K31" s="23" t="s">
        <v>403</v>
      </c>
      <c r="L31" s="49" t="n">
        <v>1</v>
      </c>
      <c r="M31" s="50" t="n">
        <f aca="false">D31*L31</f>
        <v>2250</v>
      </c>
      <c r="N31" s="33"/>
    </row>
    <row r="32" customFormat="false" ht="15" hidden="false" customHeight="false" outlineLevel="0" collapsed="false">
      <c r="A32" s="22" t="n">
        <v>46211</v>
      </c>
      <c r="B32" s="20" t="s">
        <v>480</v>
      </c>
      <c r="C32" s="20" t="s">
        <v>420</v>
      </c>
      <c r="D32" s="21" t="n">
        <v>1008</v>
      </c>
      <c r="E32" s="20" t="s">
        <v>481</v>
      </c>
      <c r="F32" s="20" t="s">
        <v>409</v>
      </c>
      <c r="G32" s="20" t="s">
        <v>410</v>
      </c>
      <c r="H32" s="20" t="s">
        <v>422</v>
      </c>
      <c r="I32" s="20" t="s">
        <v>482</v>
      </c>
      <c r="J32" s="23" t="s">
        <v>50</v>
      </c>
      <c r="K32" s="23" t="s">
        <v>403</v>
      </c>
      <c r="L32" s="49" t="n">
        <f aca="false">1/12</f>
        <v>0.0833333333333333</v>
      </c>
      <c r="M32" s="50" t="n">
        <f aca="false">D32*L32</f>
        <v>84</v>
      </c>
      <c r="N32" s="33" t="s">
        <v>483</v>
      </c>
    </row>
    <row r="33" customFormat="false" ht="15" hidden="false" customHeight="false" outlineLevel="0" collapsed="false">
      <c r="A33" s="22" t="n">
        <v>46213</v>
      </c>
      <c r="B33" s="20" t="s">
        <v>484</v>
      </c>
      <c r="C33" s="20" t="s">
        <v>438</v>
      </c>
      <c r="D33" s="21" t="n">
        <v>3500</v>
      </c>
      <c r="E33" s="20" t="s">
        <v>439</v>
      </c>
      <c r="F33" s="20" t="s">
        <v>409</v>
      </c>
      <c r="G33" s="20" t="s">
        <v>410</v>
      </c>
      <c r="H33" s="20" t="s">
        <v>422</v>
      </c>
      <c r="I33" s="20" t="s">
        <v>485</v>
      </c>
      <c r="J33" s="23" t="s">
        <v>57</v>
      </c>
      <c r="K33" s="23" t="s">
        <v>403</v>
      </c>
      <c r="L33" s="49" t="n">
        <v>1</v>
      </c>
      <c r="M33" s="50" t="n">
        <f aca="false">D33*L33</f>
        <v>3500</v>
      </c>
      <c r="N33" s="33"/>
    </row>
    <row r="34" customFormat="false" ht="15" hidden="false" customHeight="false" outlineLevel="0" collapsed="false">
      <c r="A34" s="22" t="n">
        <v>46238</v>
      </c>
      <c r="B34" s="20" t="s">
        <v>486</v>
      </c>
      <c r="C34" s="20" t="s">
        <v>420</v>
      </c>
      <c r="D34" s="21" t="n">
        <v>710</v>
      </c>
      <c r="E34" s="20" t="s">
        <v>421</v>
      </c>
      <c r="F34" s="20" t="s">
        <v>409</v>
      </c>
      <c r="G34" s="20" t="s">
        <v>410</v>
      </c>
      <c r="H34" s="20" t="s">
        <v>411</v>
      </c>
      <c r="I34" s="20"/>
      <c r="J34" s="23" t="s">
        <v>53</v>
      </c>
      <c r="K34" s="23" t="s">
        <v>403</v>
      </c>
      <c r="L34" s="49" t="n">
        <v>1</v>
      </c>
      <c r="M34" s="50" t="n">
        <f aca="false">D34*L34</f>
        <v>710</v>
      </c>
      <c r="N34" s="33"/>
    </row>
    <row r="35" customFormat="false" ht="15" hidden="false" customHeight="false" outlineLevel="0" collapsed="false">
      <c r="A35" s="22" t="n">
        <v>46253</v>
      </c>
      <c r="B35" s="20" t="s">
        <v>452</v>
      </c>
      <c r="C35" s="20" t="s">
        <v>416</v>
      </c>
      <c r="D35" s="21" t="n">
        <v>780</v>
      </c>
      <c r="E35" s="20" t="s">
        <v>408</v>
      </c>
      <c r="F35" s="20" t="s">
        <v>409</v>
      </c>
      <c r="G35" s="20" t="s">
        <v>410</v>
      </c>
      <c r="H35" s="20" t="s">
        <v>411</v>
      </c>
      <c r="I35" s="20" t="s">
        <v>487</v>
      </c>
      <c r="J35" s="23" t="s">
        <v>42</v>
      </c>
      <c r="K35" s="23" t="s">
        <v>403</v>
      </c>
      <c r="L35" s="49" t="n">
        <v>1</v>
      </c>
      <c r="M35" s="50" t="n">
        <f aca="false">D35*L35</f>
        <v>780</v>
      </c>
      <c r="N35" s="33"/>
    </row>
    <row r="37" customFormat="false" ht="15" hidden="false" customHeight="false" outlineLevel="0" collapsed="false">
      <c r="A37" s="3" t="s">
        <v>488</v>
      </c>
    </row>
    <row r="39" customFormat="false" ht="15" hidden="false" customHeight="false" outlineLevel="0" collapsed="false">
      <c r="A39" s="14" t="s">
        <v>489</v>
      </c>
    </row>
    <row r="40" customFormat="false" ht="15" hidden="false" customHeight="false" outlineLevel="0" collapsed="false">
      <c r="A40" s="3" t="s">
        <v>490</v>
      </c>
      <c r="C40" s="3" t="s">
        <v>491</v>
      </c>
      <c r="E40" s="3" t="s">
        <v>492</v>
      </c>
    </row>
    <row r="41" customFormat="false" ht="15" hidden="false" customHeight="false" outlineLevel="0" collapsed="false">
      <c r="A41" s="3" t="s">
        <v>493</v>
      </c>
      <c r="C41" s="3" t="s">
        <v>494</v>
      </c>
      <c r="E41" s="3" t="s">
        <v>495</v>
      </c>
    </row>
    <row r="42" customFormat="false" ht="15" hidden="false" customHeight="false" outlineLevel="0" collapsed="false">
      <c r="A42" s="3" t="s">
        <v>496</v>
      </c>
      <c r="C42" s="3" t="s">
        <v>497</v>
      </c>
      <c r="E42" s="3" t="s">
        <v>498</v>
      </c>
    </row>
    <row r="43" customFormat="false" ht="15" hidden="false" customHeight="false" outlineLevel="0" collapsed="false">
      <c r="A43" s="3" t="s">
        <v>499</v>
      </c>
      <c r="C43" s="3" t="s">
        <v>500</v>
      </c>
      <c r="E43" s="3" t="s">
        <v>501</v>
      </c>
    </row>
    <row r="44" customFormat="false" ht="15" hidden="false" customHeight="false" outlineLevel="0" collapsed="false">
      <c r="A44" s="3" t="s">
        <v>502</v>
      </c>
      <c r="C44" s="3" t="s">
        <v>503</v>
      </c>
      <c r="E44" s="3" t="s">
        <v>504</v>
      </c>
    </row>
    <row r="45" customFormat="false" ht="15" hidden="false" customHeight="false" outlineLevel="0" collapsed="false">
      <c r="A45" s="3" t="s">
        <v>51</v>
      </c>
      <c r="C45" s="3" t="s">
        <v>505</v>
      </c>
      <c r="E45" s="3" t="s">
        <v>506</v>
      </c>
    </row>
    <row r="46" customFormat="false" ht="15" hidden="false" customHeight="false" outlineLevel="0" collapsed="false">
      <c r="A46" s="3" t="s">
        <v>507</v>
      </c>
      <c r="C46" s="3" t="s">
        <v>508</v>
      </c>
      <c r="E46" s="3" t="s">
        <v>509</v>
      </c>
    </row>
    <row r="47" customFormat="false" ht="15" hidden="false" customHeight="false" outlineLevel="0" collapsed="false">
      <c r="A47" s="3" t="s">
        <v>510</v>
      </c>
      <c r="C47" s="3" t="s">
        <v>511</v>
      </c>
      <c r="E47" s="3" t="s">
        <v>512</v>
      </c>
    </row>
    <row r="48" customFormat="false" ht="15" hidden="false" customHeight="false" outlineLevel="0" collapsed="false">
      <c r="A48" s="3" t="s">
        <v>513</v>
      </c>
      <c r="C48" s="3" t="s">
        <v>514</v>
      </c>
      <c r="E48" s="3" t="s">
        <v>515</v>
      </c>
    </row>
    <row r="49" customFormat="false" ht="15" hidden="false" customHeight="false" outlineLevel="0" collapsed="false">
      <c r="A49" s="3" t="s">
        <v>390</v>
      </c>
      <c r="C49" s="3" t="s">
        <v>516</v>
      </c>
      <c r="E49" s="3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D6A7"/>
    <pageSetUpPr fitToPage="tru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7" min="5" style="0" width="7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6" t="s">
        <v>518</v>
      </c>
    </row>
    <row r="3" customFormat="false" ht="30" hidden="false" customHeight="true" outlineLevel="0" collapsed="false">
      <c r="A3" s="46" t="s">
        <v>519</v>
      </c>
      <c r="B3" s="46" t="s">
        <v>520</v>
      </c>
      <c r="C3" s="46" t="s">
        <v>38</v>
      </c>
      <c r="D3" s="46" t="s">
        <v>521</v>
      </c>
      <c r="E3" s="46" t="s">
        <v>522</v>
      </c>
      <c r="F3" s="46" t="s">
        <v>523</v>
      </c>
      <c r="G3" s="46" t="s">
        <v>524</v>
      </c>
      <c r="H3" s="47" t="s">
        <v>525</v>
      </c>
      <c r="I3" s="47" t="s">
        <v>296</v>
      </c>
      <c r="J3" s="47" t="s">
        <v>526</v>
      </c>
      <c r="K3" s="47" t="s">
        <v>116</v>
      </c>
    </row>
    <row r="4" customFormat="false" ht="15" hidden="false" customHeight="false" outlineLevel="0" collapsed="false">
      <c r="A4" s="20" t="s">
        <v>337</v>
      </c>
      <c r="B4" s="20" t="s">
        <v>216</v>
      </c>
      <c r="C4" s="20" t="s">
        <v>303</v>
      </c>
      <c r="D4" s="20" t="s">
        <v>527</v>
      </c>
      <c r="E4" s="20" t="n">
        <v>150</v>
      </c>
      <c r="F4" s="20" t="n">
        <v>75</v>
      </c>
      <c r="G4" s="20" t="n">
        <v>2450</v>
      </c>
      <c r="H4" s="51" t="n">
        <f aca="false">IF(D4="TIMBER",E4*F4*G4/1000000000*35.31,0)</f>
        <v>0.973231875</v>
      </c>
      <c r="I4" s="23" t="s">
        <v>42</v>
      </c>
      <c r="J4" s="21" t="n">
        <v>759.22</v>
      </c>
      <c r="K4" s="22" t="n">
        <v>46253</v>
      </c>
    </row>
    <row r="5" customFormat="false" ht="15" hidden="false" customHeight="false" outlineLevel="0" collapsed="false">
      <c r="A5" s="20" t="s">
        <v>335</v>
      </c>
      <c r="B5" s="20" t="s">
        <v>214</v>
      </c>
      <c r="C5" s="20" t="s">
        <v>303</v>
      </c>
      <c r="D5" s="20" t="s">
        <v>527</v>
      </c>
      <c r="E5" s="20" t="n">
        <v>100</v>
      </c>
      <c r="F5" s="20" t="n">
        <v>100</v>
      </c>
      <c r="G5" s="20" t="n">
        <v>1300</v>
      </c>
      <c r="H5" s="51" t="n">
        <f aca="false">IF(D5="TIMBER",E5*F5*G5/1000000000*35.31,0)</f>
        <v>0.45903</v>
      </c>
      <c r="I5" s="23" t="s">
        <v>42</v>
      </c>
      <c r="J5" s="21" t="n">
        <v>358.09</v>
      </c>
      <c r="K5" s="22" t="n">
        <v>46253</v>
      </c>
    </row>
    <row r="6" customFormat="false" ht="15" hidden="false" customHeight="false" outlineLevel="0" collapsed="false">
      <c r="A6" s="20" t="s">
        <v>336</v>
      </c>
      <c r="B6" s="20" t="s">
        <v>215</v>
      </c>
      <c r="C6" s="20" t="s">
        <v>303</v>
      </c>
      <c r="D6" s="20" t="s">
        <v>527</v>
      </c>
      <c r="E6" s="20" t="n">
        <v>150</v>
      </c>
      <c r="F6" s="20" t="n">
        <v>75</v>
      </c>
      <c r="G6" s="20" t="n">
        <v>1300</v>
      </c>
      <c r="H6" s="51" t="n">
        <f aca="false">IF(D6="TIMBER",E6*F6*G6/1000000000*35.31,0)</f>
        <v>0.51640875</v>
      </c>
      <c r="I6" s="23" t="s">
        <v>42</v>
      </c>
      <c r="J6" s="21" t="n">
        <v>402.85</v>
      </c>
      <c r="K6" s="22" t="n">
        <v>46253</v>
      </c>
    </row>
    <row r="7" customFormat="false" ht="15" hidden="false" customHeight="false" outlineLevel="0" collapsed="false">
      <c r="A7" s="20" t="s">
        <v>328</v>
      </c>
      <c r="B7" s="20" t="s">
        <v>205</v>
      </c>
      <c r="C7" s="20" t="s">
        <v>303</v>
      </c>
      <c r="D7" s="20" t="s">
        <v>527</v>
      </c>
      <c r="E7" s="20" t="n">
        <v>150</v>
      </c>
      <c r="F7" s="20" t="n">
        <v>150</v>
      </c>
      <c r="G7" s="20" t="n">
        <v>300</v>
      </c>
      <c r="H7" s="51" t="n">
        <f aca="false">IF(D7="TIMBER",E7*F7*G7/1000000000*35.31,0)</f>
        <v>0.2383425</v>
      </c>
      <c r="I7" s="23" t="s">
        <v>42</v>
      </c>
      <c r="J7" s="21" t="n">
        <v>185.93</v>
      </c>
      <c r="K7" s="22" t="n">
        <v>46253</v>
      </c>
    </row>
    <row r="8" customFormat="false" ht="15" hidden="false" customHeight="false" outlineLevel="0" collapsed="false">
      <c r="A8" s="20" t="s">
        <v>320</v>
      </c>
      <c r="B8" s="20" t="s">
        <v>204</v>
      </c>
      <c r="C8" s="20" t="s">
        <v>303</v>
      </c>
      <c r="D8" s="20" t="s">
        <v>527</v>
      </c>
      <c r="E8" s="20" t="n">
        <v>100</v>
      </c>
      <c r="F8" s="20" t="n">
        <v>75</v>
      </c>
      <c r="G8" s="20" t="n">
        <v>100</v>
      </c>
      <c r="H8" s="51" t="n">
        <f aca="false">IF(D8="TIMBER",E8*F8*G8/1000000000*35.31,0)</f>
        <v>0.0264825</v>
      </c>
      <c r="I8" s="23" t="s">
        <v>42</v>
      </c>
      <c r="J8" s="21" t="n">
        <v>20.66</v>
      </c>
      <c r="K8" s="22" t="n">
        <v>46253</v>
      </c>
    </row>
    <row r="9" customFormat="false" ht="15" hidden="false" customHeight="false" outlineLevel="0" collapsed="false">
      <c r="A9" s="20" t="s">
        <v>309</v>
      </c>
      <c r="B9" s="20" t="s">
        <v>310</v>
      </c>
      <c r="C9" s="20" t="s">
        <v>311</v>
      </c>
      <c r="D9" s="20" t="s">
        <v>528</v>
      </c>
      <c r="E9" s="20"/>
      <c r="F9" s="20"/>
      <c r="G9" s="20"/>
      <c r="H9" s="51" t="n">
        <f aca="false">IF(D9="TIMBER",E9*F9*G9/1000000000*35.31,0)</f>
        <v>0</v>
      </c>
      <c r="I9" s="23" t="s">
        <v>44</v>
      </c>
      <c r="J9" s="21" t="n">
        <v>99</v>
      </c>
      <c r="K9" s="22" t="n">
        <v>46253</v>
      </c>
    </row>
    <row r="10" customFormat="false" ht="15" hidden="false" customHeight="false" outlineLevel="0" collapsed="false">
      <c r="A10" s="20" t="s">
        <v>307</v>
      </c>
      <c r="B10" s="20" t="s">
        <v>308</v>
      </c>
      <c r="C10" s="20" t="s">
        <v>300</v>
      </c>
      <c r="D10" s="20" t="s">
        <v>528</v>
      </c>
      <c r="E10" s="20"/>
      <c r="F10" s="20"/>
      <c r="G10" s="20"/>
      <c r="H10" s="51" t="n">
        <f aca="false">IF(D10="TIMBER",E10*F10*G10/1000000000*35.31,0)</f>
        <v>0</v>
      </c>
      <c r="I10" s="23" t="s">
        <v>46</v>
      </c>
      <c r="J10" s="21" t="n">
        <v>2250</v>
      </c>
      <c r="K10" s="22" t="n">
        <v>46253</v>
      </c>
    </row>
    <row r="11" customFormat="false" ht="15" hidden="false" customHeight="false" outlineLevel="0" collapsed="false">
      <c r="A11" s="20" t="s">
        <v>314</v>
      </c>
      <c r="B11" s="20" t="s">
        <v>315</v>
      </c>
      <c r="C11" s="20" t="s">
        <v>303</v>
      </c>
      <c r="D11" s="20" t="s">
        <v>528</v>
      </c>
      <c r="E11" s="20"/>
      <c r="F11" s="20"/>
      <c r="G11" s="20"/>
      <c r="H11" s="51" t="n">
        <f aca="false">IF(D11="TIMBER",E11*F11*G11/1000000000*35.31,0)</f>
        <v>0</v>
      </c>
      <c r="I11" s="23" t="s">
        <v>48</v>
      </c>
      <c r="J11" s="21" t="n">
        <v>950</v>
      </c>
      <c r="K11" s="22" t="n">
        <v>46253</v>
      </c>
    </row>
    <row r="12" customFormat="false" ht="15" hidden="false" customHeight="false" outlineLevel="0" collapsed="false">
      <c r="A12" s="20" t="s">
        <v>301</v>
      </c>
      <c r="B12" s="20" t="s">
        <v>302</v>
      </c>
      <c r="C12" s="20" t="s">
        <v>303</v>
      </c>
      <c r="D12" s="20" t="s">
        <v>528</v>
      </c>
      <c r="E12" s="20"/>
      <c r="F12" s="20"/>
      <c r="G12" s="20"/>
      <c r="H12" s="51" t="n">
        <f aca="false">IF(D12="TIMBER",E12*F12*G12/1000000000*35.31,0)</f>
        <v>0</v>
      </c>
      <c r="I12" s="23" t="s">
        <v>50</v>
      </c>
      <c r="J12" s="21" t="n">
        <v>84</v>
      </c>
      <c r="K12" s="22" t="n">
        <v>46253</v>
      </c>
    </row>
    <row r="13" customFormat="false" ht="15" hidden="false" customHeight="false" outlineLevel="0" collapsed="false">
      <c r="A13" s="20" t="s">
        <v>316</v>
      </c>
      <c r="B13" s="20" t="s">
        <v>317</v>
      </c>
      <c r="C13" s="20" t="s">
        <v>318</v>
      </c>
      <c r="D13" s="20" t="s">
        <v>528</v>
      </c>
      <c r="E13" s="20"/>
      <c r="F13" s="20"/>
      <c r="G13" s="20"/>
      <c r="H13" s="51" t="n">
        <f aca="false">IF(D13="TIMBER",E13*F13*G13/1000000000*35.31,0)</f>
        <v>0</v>
      </c>
      <c r="I13" s="23" t="s">
        <v>51</v>
      </c>
      <c r="J13" s="21" t="n">
        <v>167.8</v>
      </c>
      <c r="K13" s="22" t="n">
        <v>46253</v>
      </c>
    </row>
    <row r="14" customFormat="false" ht="15" hidden="false" customHeight="false" outlineLevel="0" collapsed="false">
      <c r="A14" s="20" t="s">
        <v>298</v>
      </c>
      <c r="B14" s="20" t="s">
        <v>299</v>
      </c>
      <c r="C14" s="20" t="s">
        <v>300</v>
      </c>
      <c r="D14" s="20" t="s">
        <v>528</v>
      </c>
      <c r="E14" s="20"/>
      <c r="F14" s="20"/>
      <c r="G14" s="20"/>
      <c r="H14" s="51" t="n">
        <f aca="false">IF(D14="TIMBER",E14*F14*G14/1000000000*35.31,0)</f>
        <v>0</v>
      </c>
      <c r="I14" s="23" t="s">
        <v>53</v>
      </c>
      <c r="J14" s="21" t="n">
        <v>710</v>
      </c>
      <c r="K14" s="22" t="n">
        <v>46253</v>
      </c>
    </row>
    <row r="15" customFormat="false" ht="15" hidden="false" customHeight="false" outlineLevel="0" collapsed="false">
      <c r="A15" s="20" t="s">
        <v>333</v>
      </c>
      <c r="B15" s="20" t="s">
        <v>206</v>
      </c>
      <c r="C15" s="20" t="s">
        <v>303</v>
      </c>
      <c r="D15" s="20" t="s">
        <v>527</v>
      </c>
      <c r="E15" s="20" t="n">
        <v>150</v>
      </c>
      <c r="F15" s="20" t="n">
        <v>75</v>
      </c>
      <c r="G15" s="20" t="n">
        <v>2550</v>
      </c>
      <c r="H15" s="51" t="n">
        <f aca="false">IF(D15="TIMBER",E15*F15*G15/1000000000*35.31,0)</f>
        <v>1.012955625</v>
      </c>
      <c r="I15" s="23" t="s">
        <v>42</v>
      </c>
      <c r="J15" s="21" t="n">
        <v>790.21</v>
      </c>
      <c r="K15" s="22" t="n">
        <v>46253</v>
      </c>
    </row>
    <row r="16" customFormat="false" ht="15" hidden="false" customHeight="false" outlineLevel="0" collapsed="false">
      <c r="A16" s="20" t="s">
        <v>332</v>
      </c>
      <c r="B16" s="20" t="s">
        <v>203</v>
      </c>
      <c r="C16" s="20" t="s">
        <v>303</v>
      </c>
      <c r="D16" s="20" t="s">
        <v>527</v>
      </c>
      <c r="E16" s="20" t="n">
        <v>100</v>
      </c>
      <c r="F16" s="20" t="n">
        <v>100</v>
      </c>
      <c r="G16" s="20" t="n">
        <v>900</v>
      </c>
      <c r="H16" s="51" t="n">
        <f aca="false">IF(D16="TIMBER",E16*F16*G16/1000000000*35.31,0)</f>
        <v>0.31779</v>
      </c>
      <c r="I16" s="23" t="s">
        <v>42</v>
      </c>
      <c r="J16" s="21" t="n">
        <v>247.91</v>
      </c>
      <c r="K16" s="22" t="n">
        <v>46253</v>
      </c>
    </row>
    <row r="17" customFormat="false" ht="15" hidden="false" customHeight="false" outlineLevel="0" collapsed="false">
      <c r="A17" s="20" t="s">
        <v>334</v>
      </c>
      <c r="B17" s="20" t="s">
        <v>207</v>
      </c>
      <c r="C17" s="20" t="s">
        <v>303</v>
      </c>
      <c r="D17" s="20" t="s">
        <v>527</v>
      </c>
      <c r="E17" s="20" t="n">
        <v>150</v>
      </c>
      <c r="F17" s="20" t="n">
        <v>75</v>
      </c>
      <c r="G17" s="20" t="n">
        <v>900</v>
      </c>
      <c r="H17" s="51" t="n">
        <f aca="false">IF(D17="TIMBER",E17*F17*G17/1000000000*35.31,0)</f>
        <v>0.35751375</v>
      </c>
      <c r="I17" s="23" t="s">
        <v>42</v>
      </c>
      <c r="J17" s="21" t="n">
        <v>278.9</v>
      </c>
      <c r="K17" s="22" t="n">
        <v>46253</v>
      </c>
    </row>
    <row r="18" customFormat="false" ht="15" hidden="false" customHeight="false" outlineLevel="0" collapsed="false">
      <c r="A18" s="20" t="s">
        <v>340</v>
      </c>
      <c r="B18" s="20" t="s">
        <v>210</v>
      </c>
      <c r="C18" s="20" t="s">
        <v>303</v>
      </c>
      <c r="D18" s="20" t="s">
        <v>527</v>
      </c>
      <c r="E18" s="20" t="n">
        <v>150</v>
      </c>
      <c r="F18" s="20" t="n">
        <v>75</v>
      </c>
      <c r="G18" s="20" t="n">
        <v>2650</v>
      </c>
      <c r="H18" s="51" t="n">
        <f aca="false">IF(D18="TIMBER",E18*F18*G18/1000000000*35.31,0)</f>
        <v>1.052679375</v>
      </c>
      <c r="I18" s="23" t="s">
        <v>42</v>
      </c>
      <c r="J18" s="21" t="n">
        <v>821.2</v>
      </c>
      <c r="K18" s="22" t="n">
        <v>46253</v>
      </c>
    </row>
    <row r="19" customFormat="false" ht="15" hidden="false" customHeight="false" outlineLevel="0" collapsed="false">
      <c r="A19" s="20" t="s">
        <v>338</v>
      </c>
      <c r="B19" s="20" t="s">
        <v>208</v>
      </c>
      <c r="C19" s="20" t="s">
        <v>303</v>
      </c>
      <c r="D19" s="20" t="s">
        <v>527</v>
      </c>
      <c r="E19" s="20" t="n">
        <v>100</v>
      </c>
      <c r="F19" s="20" t="n">
        <v>100</v>
      </c>
      <c r="G19" s="20" t="n">
        <v>1050</v>
      </c>
      <c r="H19" s="51" t="n">
        <f aca="false">IF(D19="TIMBER",E19*F19*G19/1000000000*35.31,0)</f>
        <v>0.370755</v>
      </c>
      <c r="I19" s="23" t="s">
        <v>42</v>
      </c>
      <c r="J19" s="21" t="n">
        <v>289.23</v>
      </c>
      <c r="K19" s="22" t="n">
        <v>46253</v>
      </c>
    </row>
    <row r="20" customFormat="false" ht="15" hidden="false" customHeight="false" outlineLevel="0" collapsed="false">
      <c r="A20" s="20" t="s">
        <v>339</v>
      </c>
      <c r="B20" s="20" t="s">
        <v>209</v>
      </c>
      <c r="C20" s="20" t="s">
        <v>303</v>
      </c>
      <c r="D20" s="20" t="s">
        <v>527</v>
      </c>
      <c r="E20" s="20" t="n">
        <v>150</v>
      </c>
      <c r="F20" s="20" t="n">
        <v>75</v>
      </c>
      <c r="G20" s="20" t="n">
        <v>1050</v>
      </c>
      <c r="H20" s="51" t="n">
        <f aca="false">IF(D20="TIMBER",E20*F20*G20/1000000000*35.31,0)</f>
        <v>0.417099375</v>
      </c>
      <c r="I20" s="23" t="s">
        <v>42</v>
      </c>
      <c r="J20" s="21" t="n">
        <v>325.38</v>
      </c>
      <c r="K20" s="22" t="n">
        <v>46253</v>
      </c>
    </row>
    <row r="21" customFormat="false" ht="15" hidden="false" customHeight="false" outlineLevel="0" collapsed="false">
      <c r="A21" s="20" t="s">
        <v>330</v>
      </c>
      <c r="B21" s="20" t="s">
        <v>213</v>
      </c>
      <c r="C21" s="20" t="s">
        <v>303</v>
      </c>
      <c r="D21" s="20" t="s">
        <v>527</v>
      </c>
      <c r="E21" s="20" t="n">
        <v>150</v>
      </c>
      <c r="F21" s="20" t="n">
        <v>75</v>
      </c>
      <c r="G21" s="20" t="n">
        <v>2850</v>
      </c>
      <c r="H21" s="51" t="n">
        <f aca="false">IF(D21="TIMBER",E21*F21*G21/1000000000*35.31,0)</f>
        <v>1.132126875</v>
      </c>
      <c r="I21" s="23" t="s">
        <v>42</v>
      </c>
      <c r="J21" s="21" t="n">
        <v>883.18</v>
      </c>
      <c r="K21" s="22" t="n">
        <v>46253</v>
      </c>
    </row>
    <row r="22" customFormat="false" ht="15" hidden="false" customHeight="false" outlineLevel="0" collapsed="false">
      <c r="A22" s="20" t="s">
        <v>327</v>
      </c>
      <c r="B22" s="20" t="s">
        <v>211</v>
      </c>
      <c r="C22" s="20" t="s">
        <v>303</v>
      </c>
      <c r="D22" s="20" t="s">
        <v>527</v>
      </c>
      <c r="E22" s="20" t="n">
        <v>100</v>
      </c>
      <c r="F22" s="20" t="n">
        <v>100</v>
      </c>
      <c r="G22" s="20" t="n">
        <v>1150</v>
      </c>
      <c r="H22" s="51" t="n">
        <f aca="false">IF(D22="TIMBER",E22*F22*G22/1000000000*35.31,0)</f>
        <v>0.406065</v>
      </c>
      <c r="I22" s="23" t="s">
        <v>42</v>
      </c>
      <c r="J22" s="21" t="n">
        <v>316.77</v>
      </c>
      <c r="K22" s="22" t="n">
        <v>46253</v>
      </c>
    </row>
    <row r="23" customFormat="false" ht="15" hidden="false" customHeight="false" outlineLevel="0" collapsed="false">
      <c r="A23" s="20" t="s">
        <v>329</v>
      </c>
      <c r="B23" s="20" t="s">
        <v>212</v>
      </c>
      <c r="C23" s="20" t="s">
        <v>303</v>
      </c>
      <c r="D23" s="20" t="s">
        <v>527</v>
      </c>
      <c r="E23" s="20" t="n">
        <v>150</v>
      </c>
      <c r="F23" s="20" t="n">
        <v>75</v>
      </c>
      <c r="G23" s="20" t="n">
        <v>1150</v>
      </c>
      <c r="H23" s="51" t="n">
        <f aca="false">IF(D23="TIMBER",E23*F23*G23/1000000000*35.31,0)</f>
        <v>0.456823125</v>
      </c>
      <c r="I23" s="23" t="s">
        <v>42</v>
      </c>
      <c r="J23" s="21" t="n">
        <v>356.37</v>
      </c>
      <c r="K23" s="22" t="n">
        <v>46253</v>
      </c>
    </row>
    <row r="24" customFormat="false" ht="15" hidden="false" customHeight="false" outlineLevel="0" collapsed="false">
      <c r="A24" s="20" t="s">
        <v>326</v>
      </c>
      <c r="B24" s="20" t="s">
        <v>219</v>
      </c>
      <c r="C24" s="20" t="s">
        <v>303</v>
      </c>
      <c r="D24" s="20" t="s">
        <v>527</v>
      </c>
      <c r="E24" s="20" t="n">
        <v>150</v>
      </c>
      <c r="F24" s="20" t="n">
        <v>75</v>
      </c>
      <c r="G24" s="20" t="n">
        <v>3550</v>
      </c>
      <c r="H24" s="51" t="n">
        <f aca="false">IF(D24="TIMBER",E24*F24*G24/1000000000*35.31,0)</f>
        <v>1.410193125</v>
      </c>
      <c r="I24" s="23" t="s">
        <v>42</v>
      </c>
      <c r="J24" s="21" t="n">
        <v>1100.1</v>
      </c>
      <c r="K24" s="22" t="n">
        <v>46253</v>
      </c>
    </row>
    <row r="25" customFormat="false" ht="15" hidden="false" customHeight="false" outlineLevel="0" collapsed="false">
      <c r="A25" s="20" t="s">
        <v>324</v>
      </c>
      <c r="B25" s="20" t="s">
        <v>217</v>
      </c>
      <c r="C25" s="20" t="s">
        <v>303</v>
      </c>
      <c r="D25" s="20" t="s">
        <v>527</v>
      </c>
      <c r="E25" s="20" t="n">
        <v>100</v>
      </c>
      <c r="F25" s="20" t="n">
        <v>100</v>
      </c>
      <c r="G25" s="20" t="n">
        <v>1550</v>
      </c>
      <c r="H25" s="51" t="n">
        <f aca="false">IF(D25="TIMBER",E25*F25*G25/1000000000*35.31,0)</f>
        <v>0.547305</v>
      </c>
      <c r="I25" s="23" t="s">
        <v>42</v>
      </c>
      <c r="J25" s="21" t="n">
        <v>426.95</v>
      </c>
      <c r="K25" s="22" t="n">
        <v>46253</v>
      </c>
    </row>
    <row r="26" customFormat="false" ht="15" hidden="false" customHeight="false" outlineLevel="0" collapsed="false">
      <c r="A26" s="20" t="s">
        <v>325</v>
      </c>
      <c r="B26" s="20" t="s">
        <v>218</v>
      </c>
      <c r="C26" s="20" t="s">
        <v>303</v>
      </c>
      <c r="D26" s="20" t="s">
        <v>527</v>
      </c>
      <c r="E26" s="20" t="n">
        <v>150</v>
      </c>
      <c r="F26" s="20" t="n">
        <v>75</v>
      </c>
      <c r="G26" s="20" t="n">
        <v>1550</v>
      </c>
      <c r="H26" s="51" t="n">
        <f aca="false">IF(D26="TIMBER",E26*F26*G26/1000000000*35.31,0)</f>
        <v>0.615718125</v>
      </c>
      <c r="I26" s="23" t="s">
        <v>42</v>
      </c>
      <c r="J26" s="21" t="n">
        <v>480.32</v>
      </c>
      <c r="K26" s="22" t="n">
        <v>46253</v>
      </c>
    </row>
    <row r="27" customFormat="false" ht="15" hidden="false" customHeight="false" outlineLevel="0" collapsed="false">
      <c r="A27" s="20" t="s">
        <v>323</v>
      </c>
      <c r="B27" s="20" t="s">
        <v>220</v>
      </c>
      <c r="C27" s="20" t="s">
        <v>303</v>
      </c>
      <c r="D27" s="20" t="s">
        <v>527</v>
      </c>
      <c r="E27" s="20" t="n">
        <v>200</v>
      </c>
      <c r="F27" s="20" t="n">
        <v>200</v>
      </c>
      <c r="G27" s="20" t="n">
        <v>400</v>
      </c>
      <c r="H27" s="51" t="n">
        <f aca="false">IF(D27="TIMBER",E27*F27*G27/1000000000*35.31,0)</f>
        <v>0.56496</v>
      </c>
      <c r="I27" s="23" t="s">
        <v>42</v>
      </c>
      <c r="J27" s="21" t="n">
        <v>440.73</v>
      </c>
      <c r="K27" s="22" t="n">
        <v>46253</v>
      </c>
    </row>
    <row r="28" customFormat="false" ht="15" hidden="false" customHeight="false" outlineLevel="0" collapsed="false">
      <c r="A28" s="20" t="s">
        <v>322</v>
      </c>
      <c r="B28" s="20" t="s">
        <v>223</v>
      </c>
      <c r="C28" s="20" t="s">
        <v>303</v>
      </c>
      <c r="D28" s="20" t="s">
        <v>527</v>
      </c>
      <c r="E28" s="20" t="n">
        <v>150</v>
      </c>
      <c r="F28" s="20" t="n">
        <v>75</v>
      </c>
      <c r="G28" s="20" t="n">
        <v>3750</v>
      </c>
      <c r="H28" s="51" t="n">
        <f aca="false">IF(D28="TIMBER",E28*F28*G28/1000000000*35.31,0)</f>
        <v>1.489640625</v>
      </c>
      <c r="I28" s="23" t="s">
        <v>42</v>
      </c>
      <c r="J28" s="21" t="n">
        <v>1162.07</v>
      </c>
      <c r="K28" s="22" t="n">
        <v>46253</v>
      </c>
    </row>
    <row r="29" customFormat="false" ht="15" hidden="false" customHeight="false" outlineLevel="0" collapsed="false">
      <c r="A29" s="20" t="s">
        <v>319</v>
      </c>
      <c r="B29" s="20" t="s">
        <v>221</v>
      </c>
      <c r="C29" s="20" t="s">
        <v>303</v>
      </c>
      <c r="D29" s="20" t="s">
        <v>527</v>
      </c>
      <c r="E29" s="20" t="n">
        <v>100</v>
      </c>
      <c r="F29" s="20" t="n">
        <v>100</v>
      </c>
      <c r="G29" s="20" t="n">
        <v>1700</v>
      </c>
      <c r="H29" s="51" t="n">
        <f aca="false">IF(D29="TIMBER",E29*F29*G29/1000000000*35.31,0)</f>
        <v>0.60027</v>
      </c>
      <c r="I29" s="23" t="s">
        <v>42</v>
      </c>
      <c r="J29" s="21" t="n">
        <v>468.27</v>
      </c>
      <c r="K29" s="22" t="n">
        <v>46253</v>
      </c>
    </row>
    <row r="30" customFormat="false" ht="15" hidden="false" customHeight="false" outlineLevel="0" collapsed="false">
      <c r="A30" s="20" t="s">
        <v>321</v>
      </c>
      <c r="B30" s="20" t="s">
        <v>222</v>
      </c>
      <c r="C30" s="20" t="s">
        <v>303</v>
      </c>
      <c r="D30" s="20" t="s">
        <v>527</v>
      </c>
      <c r="E30" s="20" t="n">
        <v>150</v>
      </c>
      <c r="F30" s="20" t="n">
        <v>75</v>
      </c>
      <c r="G30" s="20" t="n">
        <v>1700</v>
      </c>
      <c r="H30" s="51" t="n">
        <f aca="false">IF(D30="TIMBER",E30*F30*G30/1000000000*35.31,0)</f>
        <v>0.67530375</v>
      </c>
      <c r="I30" s="23" t="s">
        <v>42</v>
      </c>
      <c r="J30" s="21" t="n">
        <v>526.81</v>
      </c>
      <c r="K30" s="22" t="n">
        <v>46253</v>
      </c>
    </row>
    <row r="31" customFormat="false" ht="15" hidden="false" customHeight="false" outlineLevel="0" collapsed="false">
      <c r="A31" s="20" t="s">
        <v>343</v>
      </c>
      <c r="B31" s="20" t="s">
        <v>226</v>
      </c>
      <c r="C31" s="20" t="s">
        <v>303</v>
      </c>
      <c r="D31" s="20" t="s">
        <v>527</v>
      </c>
      <c r="E31" s="20" t="n">
        <v>150</v>
      </c>
      <c r="F31" s="20" t="n">
        <v>75</v>
      </c>
      <c r="G31" s="20" t="n">
        <v>4100</v>
      </c>
      <c r="H31" s="51" t="n">
        <f aca="false">IF(D31="TIMBER",E31*F31*G31/1000000000*35.31,0)</f>
        <v>1.62867375</v>
      </c>
      <c r="I31" s="23" t="s">
        <v>42</v>
      </c>
      <c r="J31" s="21" t="n">
        <v>1270.53</v>
      </c>
      <c r="K31" s="22" t="n">
        <v>46253</v>
      </c>
    </row>
    <row r="32" customFormat="false" ht="15" hidden="false" customHeight="false" outlineLevel="0" collapsed="false">
      <c r="A32" s="20" t="s">
        <v>341</v>
      </c>
      <c r="B32" s="20" t="s">
        <v>224</v>
      </c>
      <c r="C32" s="20" t="s">
        <v>303</v>
      </c>
      <c r="D32" s="20" t="s">
        <v>527</v>
      </c>
      <c r="E32" s="20" t="n">
        <v>100</v>
      </c>
      <c r="F32" s="20" t="n">
        <v>100</v>
      </c>
      <c r="G32" s="20" t="n">
        <v>1950</v>
      </c>
      <c r="H32" s="51" t="n">
        <f aca="false">IF(D32="TIMBER",E32*F32*G32/1000000000*35.31,0)</f>
        <v>0.688545</v>
      </c>
      <c r="I32" s="23" t="s">
        <v>42</v>
      </c>
      <c r="J32" s="21" t="n">
        <v>537.14</v>
      </c>
      <c r="K32" s="22" t="n">
        <v>46253</v>
      </c>
    </row>
    <row r="33" customFormat="false" ht="15" hidden="false" customHeight="false" outlineLevel="0" collapsed="false">
      <c r="A33" s="20" t="s">
        <v>342</v>
      </c>
      <c r="B33" s="20" t="s">
        <v>225</v>
      </c>
      <c r="C33" s="20" t="s">
        <v>303</v>
      </c>
      <c r="D33" s="20" t="s">
        <v>527</v>
      </c>
      <c r="E33" s="20" t="n">
        <v>150</v>
      </c>
      <c r="F33" s="20" t="n">
        <v>75</v>
      </c>
      <c r="G33" s="20" t="n">
        <v>1950</v>
      </c>
      <c r="H33" s="51" t="n">
        <f aca="false">IF(D33="TIMBER",E33*F33*G33/1000000000*35.31,0)</f>
        <v>0.774613125</v>
      </c>
      <c r="I33" s="23" t="s">
        <v>42</v>
      </c>
      <c r="J33" s="21" t="n">
        <v>604.28</v>
      </c>
      <c r="K33" s="22" t="n">
        <v>46253</v>
      </c>
    </row>
    <row r="34" customFormat="false" ht="15" hidden="false" customHeight="false" outlineLevel="0" collapsed="false">
      <c r="A34" s="20" t="s">
        <v>312</v>
      </c>
      <c r="B34" s="20" t="s">
        <v>313</v>
      </c>
      <c r="C34" s="20" t="s">
        <v>303</v>
      </c>
      <c r="D34" s="20" t="s">
        <v>528</v>
      </c>
      <c r="E34" s="20"/>
      <c r="F34" s="20"/>
      <c r="G34" s="20"/>
      <c r="H34" s="51" t="n">
        <f aca="false">IF(D34="TIMBER",E34*F34*G34/1000000000*35.31,0)</f>
        <v>0</v>
      </c>
      <c r="I34" s="23" t="s">
        <v>54</v>
      </c>
      <c r="J34" s="21" t="n">
        <v>160</v>
      </c>
      <c r="K34" s="22" t="n">
        <v>46253</v>
      </c>
    </row>
    <row r="35" customFormat="false" ht="15" hidden="false" customHeight="false" outlineLevel="0" collapsed="false">
      <c r="A35" s="20" t="s">
        <v>304</v>
      </c>
      <c r="B35" s="20" t="s">
        <v>305</v>
      </c>
      <c r="C35" s="20" t="s">
        <v>306</v>
      </c>
      <c r="D35" s="20" t="s">
        <v>528</v>
      </c>
      <c r="E35" s="20"/>
      <c r="F35" s="20"/>
      <c r="G35" s="20"/>
      <c r="H35" s="51" t="n">
        <f aca="false">IF(D35="TIMBER",E35*F35*G35/1000000000*35.31,0)</f>
        <v>0</v>
      </c>
      <c r="I35" s="23" t="s">
        <v>55</v>
      </c>
      <c r="J35" s="21" t="n">
        <v>5</v>
      </c>
      <c r="K35" s="22" t="n">
        <v>46253</v>
      </c>
    </row>
    <row r="37" customFormat="false" ht="15" hidden="false" customHeight="false" outlineLevel="0" collapsed="false">
      <c r="A37" s="3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D6A7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6" t="s">
        <v>530</v>
      </c>
    </row>
    <row r="2" customFormat="false" ht="15" hidden="false" customHeight="false" outlineLevel="0" collapsed="false">
      <c r="A2" s="2" t="s">
        <v>531</v>
      </c>
    </row>
    <row r="3" customFormat="false" ht="30" hidden="false" customHeight="true" outlineLevel="0" collapsed="false">
      <c r="A3" s="19" t="s">
        <v>532</v>
      </c>
      <c r="B3" s="19" t="s">
        <v>37</v>
      </c>
      <c r="C3" s="19" t="s">
        <v>533</v>
      </c>
      <c r="D3" s="19" t="s">
        <v>534</v>
      </c>
      <c r="E3" s="19" t="s">
        <v>38</v>
      </c>
      <c r="F3" s="19" t="s">
        <v>535</v>
      </c>
      <c r="G3" s="19" t="s">
        <v>525</v>
      </c>
      <c r="H3" s="19" t="s">
        <v>536</v>
      </c>
    </row>
    <row r="4" customFormat="false" ht="15" hidden="false" customHeight="false" outlineLevel="0" collapsed="false">
      <c r="A4" s="20" t="n">
        <v>1</v>
      </c>
      <c r="B4" s="20" t="s">
        <v>216</v>
      </c>
      <c r="C4" s="20" t="s">
        <v>537</v>
      </c>
      <c r="D4" s="51" t="n">
        <v>3</v>
      </c>
      <c r="E4" s="20" t="s">
        <v>538</v>
      </c>
      <c r="F4" s="34" t="n">
        <f aca="false">D4*6</f>
        <v>18</v>
      </c>
      <c r="G4" s="51" t="n">
        <f aca="false">IFERROR(VLOOKUP(B4,'Data - Items'!$B$4:$H$35,7,0),0)</f>
        <v>0.973231875</v>
      </c>
      <c r="H4" s="34" t="n">
        <f aca="false">D4*G4</f>
        <v>2.919695625</v>
      </c>
    </row>
    <row r="5" customFormat="false" ht="15" hidden="false" customHeight="false" outlineLevel="0" collapsed="false">
      <c r="A5" s="20" t="n">
        <v>2</v>
      </c>
      <c r="B5" s="20" t="s">
        <v>214</v>
      </c>
      <c r="C5" s="20" t="s">
        <v>537</v>
      </c>
      <c r="D5" s="51" t="n">
        <v>4</v>
      </c>
      <c r="E5" s="20" t="s">
        <v>538</v>
      </c>
      <c r="F5" s="34" t="n">
        <f aca="false">D5*6</f>
        <v>24</v>
      </c>
      <c r="G5" s="51" t="n">
        <f aca="false">IFERROR(VLOOKUP(B5,'Data - Items'!$B$4:$H$35,7,0),0)</f>
        <v>0.45903</v>
      </c>
      <c r="H5" s="34" t="n">
        <f aca="false">D5*G5</f>
        <v>1.83612</v>
      </c>
    </row>
    <row r="6" customFormat="false" ht="15" hidden="false" customHeight="false" outlineLevel="0" collapsed="false">
      <c r="A6" s="20" t="n">
        <v>3</v>
      </c>
      <c r="B6" s="20" t="s">
        <v>215</v>
      </c>
      <c r="C6" s="20" t="s">
        <v>537</v>
      </c>
      <c r="D6" s="51" t="n">
        <v>2</v>
      </c>
      <c r="E6" s="20" t="s">
        <v>538</v>
      </c>
      <c r="F6" s="34" t="n">
        <f aca="false">D6*6</f>
        <v>12</v>
      </c>
      <c r="G6" s="51" t="n">
        <f aca="false">IFERROR(VLOOKUP(B6,'Data - Items'!$B$4:$H$35,7,0),0)</f>
        <v>0.51640875</v>
      </c>
      <c r="H6" s="34" t="n">
        <f aca="false">D6*G6</f>
        <v>1.0328175</v>
      </c>
    </row>
    <row r="7" customFormat="false" ht="15" hidden="false" customHeight="false" outlineLevel="0" collapsed="false">
      <c r="A7" s="20" t="n">
        <v>4</v>
      </c>
      <c r="B7" s="20" t="s">
        <v>205</v>
      </c>
      <c r="C7" s="20" t="s">
        <v>537</v>
      </c>
      <c r="D7" s="51" t="n">
        <v>4</v>
      </c>
      <c r="E7" s="20" t="s">
        <v>538</v>
      </c>
      <c r="F7" s="34" t="n">
        <f aca="false">D7*6</f>
        <v>24</v>
      </c>
      <c r="G7" s="51" t="n">
        <f aca="false">IFERROR(VLOOKUP(B7,'Data - Items'!$B$4:$H$35,7,0),0)</f>
        <v>0.2383425</v>
      </c>
      <c r="H7" s="34" t="n">
        <f aca="false">D7*G7</f>
        <v>0.95337</v>
      </c>
    </row>
    <row r="8" customFormat="false" ht="15" hidden="false" customHeight="false" outlineLevel="0" collapsed="false">
      <c r="A8" s="20" t="n">
        <v>5</v>
      </c>
      <c r="B8" s="20" t="s">
        <v>204</v>
      </c>
      <c r="C8" s="20" t="s">
        <v>537</v>
      </c>
      <c r="D8" s="51" t="n">
        <v>4</v>
      </c>
      <c r="E8" s="20" t="s">
        <v>538</v>
      </c>
      <c r="F8" s="34" t="n">
        <f aca="false">D8*6</f>
        <v>24</v>
      </c>
      <c r="G8" s="51" t="n">
        <f aca="false">IFERROR(VLOOKUP(B8,'Data - Items'!$B$4:$H$35,7,0),0)</f>
        <v>0.0264825</v>
      </c>
      <c r="H8" s="34" t="n">
        <f aca="false">D8*G8</f>
        <v>0.10593</v>
      </c>
    </row>
    <row r="9" customFormat="false" ht="15" hidden="false" customHeight="false" outlineLevel="0" collapsed="false">
      <c r="A9" s="20" t="n">
        <v>6</v>
      </c>
      <c r="B9" s="20" t="s">
        <v>310</v>
      </c>
      <c r="C9" s="20" t="s">
        <v>539</v>
      </c>
      <c r="D9" s="51" t="n">
        <v>1</v>
      </c>
      <c r="E9" s="20" t="s">
        <v>540</v>
      </c>
      <c r="F9" s="34" t="n">
        <f aca="false">D9*6</f>
        <v>6</v>
      </c>
      <c r="G9" s="51" t="n">
        <f aca="false">IFERROR(VLOOKUP(B9,'Data - Items'!$B$4:$H$35,7,0),0)</f>
        <v>0</v>
      </c>
      <c r="H9" s="34" t="n">
        <f aca="false">D9*G9</f>
        <v>0</v>
      </c>
    </row>
    <row r="10" customFormat="false" ht="15" hidden="false" customHeight="false" outlineLevel="0" collapsed="false">
      <c r="A10" s="20" t="n">
        <v>7</v>
      </c>
      <c r="B10" s="20" t="s">
        <v>308</v>
      </c>
      <c r="C10" s="20" t="s">
        <v>541</v>
      </c>
      <c r="D10" s="51" t="n">
        <v>0.5</v>
      </c>
      <c r="E10" s="20" t="s">
        <v>542</v>
      </c>
      <c r="F10" s="34" t="n">
        <f aca="false">D10*6</f>
        <v>3</v>
      </c>
      <c r="G10" s="51" t="n">
        <f aca="false">IFERROR(VLOOKUP(B10,'Data - Items'!$B$4:$H$35,7,0),0)</f>
        <v>0</v>
      </c>
      <c r="H10" s="34" t="n">
        <f aca="false">D10*G10</f>
        <v>0</v>
      </c>
    </row>
    <row r="11" customFormat="false" ht="15" hidden="false" customHeight="false" outlineLevel="0" collapsed="false">
      <c r="A11" s="20" t="n">
        <v>8</v>
      </c>
      <c r="B11" s="20" t="s">
        <v>315</v>
      </c>
      <c r="C11" s="20" t="s">
        <v>543</v>
      </c>
      <c r="D11" s="51" t="n">
        <v>2</v>
      </c>
      <c r="E11" s="20" t="s">
        <v>538</v>
      </c>
      <c r="F11" s="34" t="n">
        <f aca="false">D11*6</f>
        <v>12</v>
      </c>
      <c r="G11" s="51" t="n">
        <f aca="false">IFERROR(VLOOKUP(B11,'Data - Items'!$B$4:$H$35,7,0),0)</f>
        <v>0</v>
      </c>
      <c r="H11" s="34" t="n">
        <f aca="false">D11*G11</f>
        <v>0</v>
      </c>
    </row>
    <row r="12" customFormat="false" ht="15" hidden="false" customHeight="false" outlineLevel="0" collapsed="false">
      <c r="A12" s="20" t="n">
        <v>9</v>
      </c>
      <c r="B12" s="20" t="s">
        <v>302</v>
      </c>
      <c r="C12" s="20" t="s">
        <v>544</v>
      </c>
      <c r="D12" s="51" t="n">
        <v>0.833</v>
      </c>
      <c r="E12" s="20" t="s">
        <v>538</v>
      </c>
      <c r="F12" s="34" t="n">
        <f aca="false">D12*6</f>
        <v>4.998</v>
      </c>
      <c r="G12" s="51" t="n">
        <f aca="false">IFERROR(VLOOKUP(B12,'Data - Items'!$B$4:$H$35,7,0),0)</f>
        <v>0</v>
      </c>
      <c r="H12" s="34" t="n">
        <f aca="false">D12*G12</f>
        <v>0</v>
      </c>
    </row>
    <row r="13" customFormat="false" ht="15" hidden="false" customHeight="false" outlineLevel="0" collapsed="false">
      <c r="A13" s="20" t="n">
        <v>10</v>
      </c>
      <c r="B13" s="20" t="s">
        <v>317</v>
      </c>
      <c r="C13" s="20" t="s">
        <v>545</v>
      </c>
      <c r="D13" s="51" t="n">
        <v>2.333</v>
      </c>
      <c r="E13" s="20" t="s">
        <v>52</v>
      </c>
      <c r="F13" s="34" t="n">
        <f aca="false">D13*6</f>
        <v>13.998</v>
      </c>
      <c r="G13" s="51" t="n">
        <f aca="false">IFERROR(VLOOKUP(B13,'Data - Items'!$B$4:$H$35,7,0),0)</f>
        <v>0</v>
      </c>
      <c r="H13" s="34" t="n">
        <f aca="false">D13*G13</f>
        <v>0</v>
      </c>
    </row>
    <row r="14" customFormat="false" ht="15" hidden="false" customHeight="false" outlineLevel="0" collapsed="false">
      <c r="A14" s="20" t="n">
        <v>11</v>
      </c>
      <c r="B14" s="20" t="s">
        <v>299</v>
      </c>
      <c r="C14" s="20" t="s">
        <v>545</v>
      </c>
      <c r="D14" s="51" t="n">
        <v>0.833</v>
      </c>
      <c r="E14" s="20" t="s">
        <v>542</v>
      </c>
      <c r="F14" s="34" t="n">
        <f aca="false">D14*6</f>
        <v>4.998</v>
      </c>
      <c r="G14" s="51" t="n">
        <f aca="false">IFERROR(VLOOKUP(B14,'Data - Items'!$B$4:$H$35,7,0),0)</f>
        <v>0</v>
      </c>
      <c r="H14" s="34" t="n">
        <f aca="false">D14*G14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2026-09-22T07:45:21Z</dcterms:created>
  <dc:creator>Kousani Das</dc:creator>
  <dc:description/>
  <dc:language>en-US</dc:language>
  <cp:lastModifiedBy/>
  <dcterms:modified xsi:type="dcterms:W3CDTF">2026-09-22T07:45:23Z</dcterms:modified>
  <cp:revision>1</cp:revision>
  <dc:subject/>
  <dc:title>Export packing cost - case study (simulated data)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